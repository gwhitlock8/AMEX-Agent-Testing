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Categories Reference" sheetId="2" state="visible" r:id="rId2"/>
    <sheet xmlns:r="http://schemas.openxmlformats.org/officeDocument/2006/relationships" name="Service Offerings" sheetId="3" state="visible" r:id="rId3"/>
    <sheet xmlns:r="http://schemas.openxmlformats.org/officeDocument/2006/relationships" name="Active MIs" sheetId="4" state="visible" r:id="rId4"/>
    <sheet xmlns:r="http://schemas.openxmlformats.org/officeDocument/2006/relationships" name="Active Problems (P1-P2)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B7B7B"/>
        <bgColor rgb="007B7B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40" customWidth="1" min="4" max="4"/>
    <col width="25" customWidth="1" min="5" max="5"/>
    <col width="18" customWidth="1" min="6" max="6"/>
    <col width="18" customWidth="1" min="7" max="7"/>
    <col width="10" customWidth="1" min="8" max="8"/>
    <col width="30" customWidth="1" min="9" max="9"/>
    <col width="25" customWidth="1" min="10" max="10"/>
    <col width="25" customWidth="1" min="11" max="11"/>
    <col width="30" customWidth="1" min="12" max="12"/>
    <col width="10" customWidth="1" min="13" max="13"/>
    <col width="30" customWidth="1" min="14" max="14"/>
    <col width="20" customWidth="1" min="15" max="15"/>
    <col width="20" customWidth="1" min="16" max="16"/>
    <col width="10" customWidth="1" min="17" max="17"/>
    <col width="30" customWidth="1" min="18" max="18"/>
    <col width="15" customWidth="1" min="19" max="19"/>
    <col width="12" customWidth="1" min="20" max="20"/>
    <col width="35" customWidth="1" min="21" max="21"/>
  </cols>
  <sheetData>
    <row r="1">
      <c r="A1" s="1" t="inlineStr">
        <is>
          <t>Test ID</t>
        </is>
      </c>
      <c r="B1" s="1" t="inlineStr">
        <is>
          <t>Phase</t>
        </is>
      </c>
      <c r="C1" s="1" t="inlineStr">
        <is>
          <t>Incident Number</t>
        </is>
      </c>
      <c r="D1" s="1" t="inlineStr">
        <is>
          <t>Short Description</t>
        </is>
      </c>
      <c r="E1" s="1" t="inlineStr">
        <is>
          <t>Pre-existing Values</t>
        </is>
      </c>
      <c r="F1" s="2" t="inlineStr">
        <is>
          <t>A1: Category</t>
        </is>
      </c>
      <c r="G1" s="2" t="inlineStr">
        <is>
          <t>A1: Subcategory</t>
        </is>
      </c>
      <c r="H1" s="2" t="inlineStr">
        <is>
          <t>A1: Correct?</t>
        </is>
      </c>
      <c r="I1" s="2" t="inlineStr">
        <is>
          <t>A1: Notes</t>
        </is>
      </c>
      <c r="J1" s="3" t="inlineStr">
        <is>
          <t>A2: Service</t>
        </is>
      </c>
      <c r="K1" s="3" t="inlineStr">
        <is>
          <t>A2: Offering</t>
        </is>
      </c>
      <c r="L1" s="3" t="inlineStr">
        <is>
          <t>A2: CI</t>
        </is>
      </c>
      <c r="M1" s="3" t="inlineStr">
        <is>
          <t>A2: Correct?</t>
        </is>
      </c>
      <c r="N1" s="3" t="inlineStr">
        <is>
          <t>A2: Notes</t>
        </is>
      </c>
      <c r="O1" s="4" t="inlineStr">
        <is>
          <t>A3: Linked MI</t>
        </is>
      </c>
      <c r="P1" s="4" t="inlineStr">
        <is>
          <t>A3: Linked Problem</t>
        </is>
      </c>
      <c r="Q1" s="4" t="inlineStr">
        <is>
          <t>A3: Correct?</t>
        </is>
      </c>
      <c r="R1" s="4" t="inlineStr">
        <is>
          <t>A3: Notes</t>
        </is>
      </c>
      <c r="S1" s="5" t="inlineStr">
        <is>
          <t>Execution Time (s)</t>
        </is>
      </c>
      <c r="T1" s="5" t="inlineStr">
        <is>
          <t>All 3 Agents Completed?</t>
        </is>
      </c>
      <c r="U1" s="5" t="inlineStr">
        <is>
          <t>Errors/Anomalies</t>
        </is>
      </c>
    </row>
    <row r="2">
      <c r="A2" s="6" t="inlineStr">
        <is>
          <t>HP-01</t>
        </is>
      </c>
      <c r="B2" s="6" t="inlineStr">
        <is>
          <t>Happy Path</t>
        </is>
      </c>
      <c r="C2" s="6" t="inlineStr"/>
      <c r="D2" s="6" t="inlineStr">
        <is>
          <t>Email not working on Outlook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6" t="inlineStr">
        <is>
          <t>HP-02</t>
        </is>
      </c>
      <c r="B3" s="6" t="inlineStr">
        <is>
          <t>Happy Path</t>
        </is>
      </c>
      <c r="C3" s="6" t="inlineStr"/>
      <c r="D3" s="6" t="inlineStr">
        <is>
          <t>Printer not working in Tokyo office</t>
        </is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6" t="inlineStr">
        <is>
          <t>HP-03</t>
        </is>
      </c>
      <c r="B4" s="6" t="inlineStr">
        <is>
          <t>Happy Path</t>
        </is>
      </c>
      <c r="C4" s="6" t="inlineStr"/>
      <c r="D4" s="6" t="inlineStr">
        <is>
          <t>ReadCheckingAccountPostedTransactions.v2 failures on MYCA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>
      <c r="A5" s="6" t="inlineStr">
        <is>
          <t>HP-04</t>
        </is>
      </c>
      <c r="B5" s="6" t="inlineStr">
        <is>
          <t>Happy Path</t>
        </is>
      </c>
      <c r="C5" s="6" t="inlineStr"/>
      <c r="D5" s="6" t="inlineStr">
        <is>
          <t>VPN connection dropping intermittently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inlineStr">
        <is>
          <t>HP-05</t>
        </is>
      </c>
      <c r="B6" s="6" t="inlineStr">
        <is>
          <t>Happy Path</t>
        </is>
      </c>
      <c r="C6" s="6" t="inlineStr"/>
      <c r="D6" s="6" t="inlineStr">
        <is>
          <t>ROD failures impacting instant decisions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inlineStr">
        <is>
          <t>HP-06</t>
        </is>
      </c>
      <c r="B7" s="6" t="inlineStr">
        <is>
          <t>Happy Path</t>
        </is>
      </c>
      <c r="C7" s="6" t="inlineStr"/>
      <c r="D7" s="6" t="inlineStr">
        <is>
          <t>Oracle DB connection pool exhausted on production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inlineStr">
        <is>
          <t>AC-01</t>
        </is>
      </c>
      <c r="B8" s="6" t="inlineStr">
        <is>
          <t>Accuracy Matrix</t>
        </is>
      </c>
      <c r="C8" s="6" t="inlineStr"/>
      <c r="D8" s="6" t="inlineStr">
        <is>
          <t>Unable to authenticate to corporate VPN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inlineStr">
        <is>
          <t>AC-02</t>
        </is>
      </c>
      <c r="B9" s="6" t="inlineStr">
        <is>
          <t>Accuracy Matrix</t>
        </is>
      </c>
      <c r="C9" s="6" t="inlineStr"/>
      <c r="D9" s="6" t="inlineStr">
        <is>
          <t>AWS EC2 instance unresponsive in us-east-1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inlineStr">
        <is>
          <t>AC-03</t>
        </is>
      </c>
      <c r="B10" s="6" t="inlineStr">
        <is>
          <t>Accuracy Matrix</t>
        </is>
      </c>
      <c r="C10" s="6" t="inlineStr"/>
      <c r="D10" s="6" t="inlineStr">
        <is>
          <t>Oracle DB connection pool exhausted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inlineStr">
        <is>
          <t>AC-04</t>
        </is>
      </c>
      <c r="B11" s="6" t="inlineStr">
        <is>
          <t>Accuracy Matrix</t>
        </is>
      </c>
      <c r="C11" s="6" t="inlineStr"/>
      <c r="D11" s="6" t="inlineStr">
        <is>
          <t>SQL Server instance MSSQL01 not responding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inlineStr">
        <is>
          <t>AC-05</t>
        </is>
      </c>
      <c r="B12" s="6" t="inlineStr">
        <is>
          <t>Accuracy Matrix</t>
        </is>
      </c>
      <c r="C12" s="6" t="inlineStr"/>
      <c r="D12" s="6" t="inlineStr">
        <is>
          <t>Monitor flickering intermittently on docking station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inlineStr">
        <is>
          <t>AC-06</t>
        </is>
      </c>
      <c r="B13" s="6" t="inlineStr">
        <is>
          <t>Accuracy Matrix</t>
        </is>
      </c>
      <c r="C13" s="6" t="inlineStr"/>
      <c r="D13" s="6" t="inlineStr">
        <is>
          <t>Need help configuring email forwarding rules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inlineStr">
        <is>
          <t>AC-07</t>
        </is>
      </c>
      <c r="B14" s="6" t="inlineStr">
        <is>
          <t>Accuracy Matrix</t>
        </is>
      </c>
      <c r="C14" s="6" t="inlineStr"/>
      <c r="D14" s="6" t="inlineStr">
        <is>
          <t>Firewall blocking traffic to production subnet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inlineStr">
        <is>
          <t>AC-08</t>
        </is>
      </c>
      <c r="B15" s="6" t="inlineStr">
        <is>
          <t>Accuracy Matrix</t>
        </is>
      </c>
      <c r="C15" s="6" t="inlineStr"/>
      <c r="D15" s="6" t="inlineStr">
        <is>
          <t>Issue previously reported has been fixed by vendor patch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inlineStr">
        <is>
          <t>AC-09</t>
        </is>
      </c>
      <c r="B16" s="6" t="inlineStr">
        <is>
          <t>Accuracy Matrix</t>
        </is>
      </c>
      <c r="C16" s="6" t="inlineStr"/>
      <c r="D16" s="6" t="inlineStr">
        <is>
          <t>Deployment pipeline failed during staging rollout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inlineStr">
        <is>
          <t>AC-10</t>
        </is>
      </c>
      <c r="B17" s="6" t="inlineStr">
        <is>
          <t>Accuracy Matrix</t>
        </is>
      </c>
      <c r="C17" s="6" t="inlineStr"/>
      <c r="D17" s="6" t="inlineStr">
        <is>
          <t>Outlook keeps freezing when opening attachments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AC-11</t>
        </is>
      </c>
      <c r="B18" s="6" t="inlineStr">
        <is>
          <t>Accuracy Matrix</t>
        </is>
      </c>
      <c r="C18" s="6" t="inlineStr"/>
      <c r="D18" s="6" t="inlineStr">
        <is>
          <t>Desk phone not ringing for incoming calls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inlineStr">
        <is>
          <t>MP-01</t>
        </is>
      </c>
      <c r="B19" s="6" t="inlineStr">
        <is>
          <t>Accuracy Matrix</t>
        </is>
      </c>
      <c r="C19" s="6" t="inlineStr"/>
      <c r="D19" s="6" t="inlineStr">
        <is>
          <t>Card replacement failures on mobile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inlineStr">
        <is>
          <t>MP-02</t>
        </is>
      </c>
      <c r="B20" s="6" t="inlineStr">
        <is>
          <t>Accuracy Matrix</t>
        </is>
      </c>
      <c r="C20" s="6" t="inlineStr"/>
      <c r="D20" s="6" t="inlineStr">
        <is>
          <t>Gift card catalog API errors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inlineStr">
        <is>
          <t>MP-03</t>
        </is>
      </c>
      <c r="B21" s="6" t="inlineStr">
        <is>
          <t>Accuracy Matrix</t>
        </is>
      </c>
      <c r="C21" s="6" t="inlineStr"/>
      <c r="D21" s="6" t="inlineStr">
        <is>
          <t>ISP portal not loading for Manila CCPs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inlineStr">
        <is>
          <t>MP-04</t>
        </is>
      </c>
      <c r="B22" s="6" t="inlineStr">
        <is>
          <t>Accuracy Matrix</t>
        </is>
      </c>
      <c r="C22" s="6" t="inlineStr"/>
      <c r="D22" s="6" t="inlineStr">
        <is>
          <t>ROD processing failures for Australian market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inlineStr">
        <is>
          <t>MP-05</t>
        </is>
      </c>
      <c r="B23" s="6" t="inlineStr">
        <is>
          <t>Accuracy Matrix</t>
        </is>
      </c>
      <c r="C23" s="6" t="inlineStr"/>
      <c r="D23" s="6" t="inlineStr">
        <is>
          <t>Lounge finder app not returning results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inlineStr">
        <is>
          <t>MP-06</t>
        </is>
      </c>
      <c r="B24" s="6" t="inlineStr">
        <is>
          <t>Accuracy Matrix</t>
        </is>
      </c>
      <c r="C24" s="6" t="inlineStr"/>
      <c r="D24" s="6" t="inlineStr">
        <is>
          <t>SAP payroll calculation error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inlineStr">
        <is>
          <t>EC-01</t>
        </is>
      </c>
      <c r="B25" s="6" t="inlineStr">
        <is>
          <t>Edge Case</t>
        </is>
      </c>
      <c r="C25" s="6" t="inlineStr"/>
      <c r="D25" s="6" t="inlineStr">
        <is>
          <t>Something is broken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inlineStr">
        <is>
          <t>EC-02</t>
        </is>
      </c>
      <c r="B26" s="6" t="inlineStr">
        <is>
          <t>Edge Case</t>
        </is>
      </c>
      <c r="C26" s="6" t="inlineStr"/>
      <c r="D26" s="6" t="inlineStr">
        <is>
          <t>test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inlineStr">
        <is>
          <t>EC-03</t>
        </is>
      </c>
      <c r="B27" s="6" t="inlineStr">
        <is>
          <t>Edge Case</t>
        </is>
      </c>
      <c r="C27" s="6" t="inlineStr"/>
      <c r="D27" s="6" t="inlineStr">
        <is>
          <t>Network issue causing email software to crash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inlineStr">
        <is>
          <t>EC-04</t>
        </is>
      </c>
      <c r="B28" s="6" t="inlineStr">
        <is>
          <t>Edge Case</t>
        </is>
      </c>
      <c r="C28" s="6" t="inlineStr"/>
      <c r="D28" s="6" t="inlineStr">
        <is>
          <t>(pre-populate category before running)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inlineStr">
        <is>
          <t>EC-05</t>
        </is>
      </c>
      <c r="B29" s="6" t="inlineStr">
        <is>
          <t>Edge Case</t>
        </is>
      </c>
      <c r="C29" s="6" t="inlineStr"/>
      <c r="D29" s="6" t="inlineStr">
        <is>
          <t>(non-English description)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inlineStr">
        <is>
          <t>EC-06</t>
        </is>
      </c>
      <c r="B30" s="6" t="inlineStr">
        <is>
          <t>Edge Case</t>
        </is>
      </c>
      <c r="C30" s="6" t="inlineStr"/>
      <c r="D30" s="6" t="inlineStr">
        <is>
          <t>(service not in CMDB)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inlineStr">
        <is>
          <t>EC-07</t>
        </is>
      </c>
      <c r="B31" s="6" t="inlineStr">
        <is>
          <t>Edge Case</t>
        </is>
      </c>
      <c r="C31" s="6" t="inlineStr"/>
      <c r="D31" s="6" t="inlineStr">
        <is>
          <t>(ambiguous short description)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inlineStr">
        <is>
          <t>EC-08</t>
        </is>
      </c>
      <c r="B32" s="6" t="inlineStr">
        <is>
          <t>Edge Case</t>
        </is>
      </c>
      <c r="C32" s="6" t="inlineStr"/>
      <c r="D32" s="6" t="inlineStr">
        <is>
          <t>(CI exists, offering branch has no CIs)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inlineStr">
        <is>
          <t>EC-09</t>
        </is>
      </c>
      <c r="B33" s="6" t="inlineStr">
        <is>
          <t>Edge Case</t>
        </is>
      </c>
      <c r="C33" s="6" t="inlineStr"/>
      <c r="D33" s="6" t="inlineStr">
        <is>
          <t>(pre-populate service/offering/CI before running)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inlineStr">
        <is>
          <t>EC-10</t>
        </is>
      </c>
      <c r="B34" s="6" t="inlineStr">
        <is>
          <t>Edge Case</t>
        </is>
      </c>
      <c r="C34" s="6" t="inlineStr"/>
      <c r="D34" s="6" t="inlineStr">
        <is>
          <t>(guidance pin test)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inlineStr">
        <is>
          <t>EC-11</t>
        </is>
      </c>
      <c r="B35" s="6" t="inlineStr">
        <is>
          <t>Edge Case</t>
        </is>
      </c>
      <c r="C35" s="6" t="inlineStr"/>
      <c r="D35" s="6" t="inlineStr">
        <is>
          <t>Conference room projector broken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inlineStr">
        <is>
          <t>EC-12</t>
        </is>
      </c>
      <c r="B36" s="6" t="inlineStr">
        <is>
          <t>Edge Case</t>
        </is>
      </c>
      <c r="C36" s="6" t="inlineStr"/>
      <c r="D36" s="6" t="inlineStr">
        <is>
          <t>GO2 instant decision failures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inlineStr">
        <is>
          <t>EC-13</t>
        </is>
      </c>
      <c r="B37" s="6" t="inlineStr">
        <is>
          <t>Edge Case</t>
        </is>
      </c>
      <c r="C37" s="6" t="inlineStr"/>
      <c r="D37" s="6" t="inlineStr">
        <is>
          <t>(match resolved MI in state=6)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inlineStr">
        <is>
          <t>EC-14</t>
        </is>
      </c>
      <c r="B38" s="6" t="inlineStr">
        <is>
          <t>Edge Case</t>
        </is>
      </c>
      <c r="C38" s="6" t="inlineStr"/>
      <c r="D38" s="6" t="inlineStr">
        <is>
          <t>Db2 connection failures on weekends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inlineStr">
        <is>
          <t>EC-15</t>
        </is>
      </c>
      <c r="B39" s="6" t="inlineStr">
        <is>
          <t>Edge Case</t>
        </is>
      </c>
      <c r="C39" s="6" t="inlineStr"/>
      <c r="D39" s="6" t="inlineStr">
        <is>
          <t>Card replacement failures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inlineStr">
        <is>
          <t>EC-16</t>
        </is>
      </c>
      <c r="B40" s="6" t="inlineStr">
        <is>
          <t>Edge Case</t>
        </is>
      </c>
      <c r="C40" s="6" t="inlineStr"/>
      <c r="D40" s="6" t="inlineStr">
        <is>
          <t>(use resolved incident)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inlineStr">
        <is>
          <t>EC-17</t>
        </is>
      </c>
      <c r="B41" s="6" t="inlineStr">
        <is>
          <t>Edge Case</t>
        </is>
      </c>
      <c r="C41" s="6" t="inlineStr"/>
      <c r="D41" s="6" t="inlineStr">
        <is>
          <t>(use closed incident)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inlineStr">
        <is>
          <t>EC-18</t>
        </is>
      </c>
      <c r="B42" s="6" t="inlineStr">
        <is>
          <t>Edge Case</t>
        </is>
      </c>
      <c r="C42" s="6" t="inlineStr"/>
      <c r="D42" s="6" t="inlineStr">
        <is>
          <t>(use canceled incident)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inlineStr">
        <is>
          <t>EC-19</t>
        </is>
      </c>
      <c r="B43" s="6" t="inlineStr">
        <is>
          <t>Edge Case</t>
        </is>
      </c>
      <c r="C43" s="6" t="inlineStr"/>
      <c r="D43" s="6" t="inlineStr">
        <is>
          <t>(invalid INC number)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inlineStr">
        <is>
          <t>EC-20</t>
        </is>
      </c>
      <c r="B44" s="6" t="inlineStr">
        <is>
          <t>Edge Case</t>
        </is>
      </c>
      <c r="C44" s="6" t="inlineStr"/>
      <c r="D44" s="6" t="inlineStr">
        <is>
          <t>(empty short_description and description)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inlineStr">
        <is>
          <t>PX-01</t>
        </is>
      </c>
      <c r="B45" s="6" t="inlineStr">
        <is>
          <t>Parallel/Conflict</t>
        </is>
      </c>
      <c r="C45" s="6" t="inlineStr"/>
      <c r="D45" s="6" t="inlineStr">
        <is>
          <t>(normal incident, check work notes)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inlineStr">
        <is>
          <t>PX-02</t>
        </is>
      </c>
      <c r="B46" s="6" t="inlineStr">
        <is>
          <t>Parallel/Conflict</t>
        </is>
      </c>
      <c r="C46" s="6" t="inlineStr"/>
      <c r="D46" s="6" t="inlineStr">
        <is>
          <t>(check A1 vs A2 field conflicts)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inlineStr">
        <is>
          <t>PX-03</t>
        </is>
      </c>
      <c r="B47" s="6" t="inlineStr">
        <is>
          <t>Parallel/Conflict</t>
        </is>
      </c>
      <c r="C47" s="6" t="inlineStr"/>
      <c r="D47" s="6" t="inlineStr">
        <is>
          <t>(run same INC twice rapidly)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inlineStr">
        <is>
          <t>PX-04</t>
        </is>
      </c>
      <c r="B48" s="6" t="inlineStr">
        <is>
          <t>Parallel/Conflict</t>
        </is>
      </c>
      <c r="C48" s="6" t="inlineStr"/>
      <c r="D48" s="6" t="inlineStr">
        <is>
          <t>(edit incident while agents run)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inlineStr">
        <is>
          <t>PX-05</t>
        </is>
      </c>
      <c r="B49" s="6" t="inlineStr">
        <is>
          <t>Parallel/Conflict</t>
        </is>
      </c>
      <c r="C49" s="6" t="inlineStr"/>
      <c r="D49" s="6" t="inlineStr">
        <is>
          <t>(A3 link + A2 update simultaneously)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inlineStr">
        <is>
          <t>SO-01</t>
        </is>
      </c>
      <c r="B50" s="6" t="inlineStr">
        <is>
          <t>Accuracy Matrix</t>
        </is>
      </c>
      <c r="C50" s="6" t="inlineStr"/>
      <c r="D50" s="6" t="inlineStr">
        <is>
          <t>Card replacement needed — customer called in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inlineStr">
        <is>
          <t>SO-02</t>
        </is>
      </c>
      <c r="B51" s="6" t="inlineStr">
        <is>
          <t>Accuracy Matrix</t>
        </is>
      </c>
      <c r="C51" s="6" t="inlineStr"/>
      <c r="D51" s="6" t="inlineStr">
        <is>
          <t>Card replacement requested via mobile app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inlineStr">
        <is>
          <t>SO-03</t>
        </is>
      </c>
      <c r="B52" s="6" t="inlineStr">
        <is>
          <t>Accuracy Matrix</t>
        </is>
      </c>
      <c r="C52" s="6" t="inlineStr"/>
      <c r="D52" s="6" t="inlineStr">
        <is>
          <t>Customer wants to freeze card on website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inlineStr">
        <is>
          <t>SO-04</t>
        </is>
      </c>
      <c r="B53" s="6" t="inlineStr">
        <is>
          <t>Accuracy Matrix</t>
        </is>
      </c>
      <c r="C53" s="6" t="inlineStr"/>
      <c r="D53" s="6" t="inlineStr">
        <is>
          <t>Bill payment failed on IVR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inlineStr">
        <is>
          <t>SO-05</t>
        </is>
      </c>
      <c r="B54" s="6" t="inlineStr">
        <is>
          <t>Accuracy Matrix</t>
        </is>
      </c>
      <c r="C54" s="6" t="inlineStr"/>
      <c r="D54" s="6" t="inlineStr">
        <is>
          <t>Rewards points transfer not working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6" t="inlineStr">
        <is>
          <t>SO-06</t>
        </is>
      </c>
      <c r="B55" s="6" t="inlineStr">
        <is>
          <t>Accuracy Matrix</t>
        </is>
      </c>
      <c r="C55" s="6" t="inlineStr"/>
      <c r="D55" s="6" t="inlineStr">
        <is>
          <t>Offer enrollment errors on mobile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6" t="inlineStr">
        <is>
          <t>SO-07</t>
        </is>
      </c>
      <c r="B56" s="6" t="inlineStr">
        <is>
          <t>Accuracy Matrix</t>
        </is>
      </c>
      <c r="C56" s="6" t="inlineStr"/>
      <c r="D56" s="6" t="inlineStr">
        <is>
          <t>Customer can't view statement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6" t="inlineStr">
        <is>
          <t>SO-08</t>
        </is>
      </c>
      <c r="B57" s="6" t="inlineStr">
        <is>
          <t>Accuracy Matrix</t>
        </is>
      </c>
      <c r="C57" s="6" t="inlineStr"/>
      <c r="D57" s="6" t="inlineStr">
        <is>
          <t>vPayment processing errors</t>
        </is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6" t="inlineStr">
        <is>
          <t>SO-09</t>
        </is>
      </c>
      <c r="B58" s="6" t="inlineStr">
        <is>
          <t>Accuracy Matrix</t>
        </is>
      </c>
      <c r="C58" s="6" t="inlineStr"/>
      <c r="D58" s="6" t="inlineStr">
        <is>
          <t>PNR ticketing system down</t>
        </is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6" t="inlineStr">
        <is>
          <t>SO-10</t>
        </is>
      </c>
      <c r="B59" s="6" t="inlineStr">
        <is>
          <t>Accuracy Matrix</t>
        </is>
      </c>
      <c r="C59" s="6" t="inlineStr"/>
      <c r="D59" s="6" t="inlineStr">
        <is>
          <t>(caller-assigned CI test)</t>
        </is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</sheetData>
  <dataValidations count="3">
    <dataValidation sqref="B2:B200" showDropDown="0" showInputMessage="0" showErrorMessage="0" allowBlank="0" type="list">
      <formula1>"Happy Path,Accuracy Matrix,Edge Case,Parallel/Conflict,Volume,Retest"</formula1>
    </dataValidation>
    <dataValidation sqref="H2:H200 M2:M200 Q2:Q200" showDropDown="0" showInputMessage="0" showErrorMessage="0" allowBlank="0" type="list">
      <formula1>"Y,N,Partial,N/A"</formula1>
    </dataValidation>
    <dataValidation sqref="T2:T200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7" t="inlineStr">
        <is>
          <t>Category</t>
        </is>
      </c>
      <c r="B1" s="7" t="inlineStr">
        <is>
          <t>Subcategory</t>
        </is>
      </c>
    </row>
    <row r="2">
      <c r="A2" t="inlineStr">
        <is>
          <t>access</t>
        </is>
      </c>
      <c r="B2" t="inlineStr">
        <is>
          <t>application</t>
        </is>
      </c>
    </row>
    <row r="3">
      <c r="A3" t="inlineStr">
        <is>
          <t>access</t>
        </is>
      </c>
      <c r="B3" t="inlineStr">
        <is>
          <t>authentication</t>
        </is>
      </c>
    </row>
    <row r="4">
      <c r="A4" t="inlineStr">
        <is>
          <t>access</t>
        </is>
      </c>
      <c r="B4" t="inlineStr">
        <is>
          <t>compliance</t>
        </is>
      </c>
    </row>
    <row r="5">
      <c r="A5" t="inlineStr">
        <is>
          <t>access</t>
        </is>
      </c>
      <c r="B5" t="inlineStr">
        <is>
          <t>database</t>
        </is>
      </c>
    </row>
    <row r="6">
      <c r="A6" t="inlineStr">
        <is>
          <t>access</t>
        </is>
      </c>
      <c r="B6" t="inlineStr">
        <is>
          <t>encryption</t>
        </is>
      </c>
    </row>
    <row r="7">
      <c r="A7" t="inlineStr">
        <is>
          <t>access</t>
        </is>
      </c>
      <c r="B7" t="inlineStr">
        <is>
          <t>hardware</t>
        </is>
      </c>
    </row>
    <row r="8">
      <c r="A8" t="inlineStr">
        <is>
          <t>access</t>
        </is>
      </c>
      <c r="B8" t="inlineStr">
        <is>
          <t>network</t>
        </is>
      </c>
    </row>
    <row r="9">
      <c r="A9" t="inlineStr">
        <is>
          <t>access</t>
        </is>
      </c>
      <c r="B9" t="inlineStr">
        <is>
          <t>network1</t>
        </is>
      </c>
    </row>
    <row r="10">
      <c r="A10" t="inlineStr">
        <is>
          <t>access</t>
        </is>
      </c>
      <c r="B10" t="inlineStr">
        <is>
          <t>password</t>
        </is>
      </c>
    </row>
    <row r="11">
      <c r="A11" t="inlineStr">
        <is>
          <t>access</t>
        </is>
      </c>
      <c r="B11" t="inlineStr">
        <is>
          <t>software</t>
        </is>
      </c>
    </row>
    <row r="12">
      <c r="A12" t="inlineStr">
        <is>
          <t>access</t>
        </is>
      </c>
      <c r="B12" t="inlineStr">
        <is>
          <t>telephony</t>
        </is>
      </c>
    </row>
    <row r="13">
      <c r="A13" t="inlineStr">
        <is>
          <t>cloud management</t>
        </is>
      </c>
      <c r="B13" t="inlineStr">
        <is>
          <t>access</t>
        </is>
      </c>
    </row>
    <row r="14">
      <c r="A14" t="inlineStr">
        <is>
          <t>cloud management</t>
        </is>
      </c>
      <c r="B14" t="inlineStr">
        <is>
          <t>network</t>
        </is>
      </c>
    </row>
    <row r="15">
      <c r="A15" t="inlineStr">
        <is>
          <t>cloud management</t>
        </is>
      </c>
      <c r="B15" t="inlineStr">
        <is>
          <t>server</t>
        </is>
      </c>
    </row>
    <row r="16">
      <c r="A16" t="inlineStr">
        <is>
          <t>database</t>
        </is>
      </c>
      <c r="B16" t="inlineStr">
        <is>
          <t>DB2 luw</t>
        </is>
      </c>
    </row>
    <row r="17">
      <c r="A17" t="inlineStr">
        <is>
          <t>database</t>
        </is>
      </c>
      <c r="B17" t="inlineStr">
        <is>
          <t>DB2 udb</t>
        </is>
      </c>
    </row>
    <row r="18">
      <c r="A18" t="inlineStr">
        <is>
          <t>database</t>
        </is>
      </c>
      <c r="B18" t="inlineStr">
        <is>
          <t>DB2 z/os</t>
        </is>
      </c>
    </row>
    <row r="19">
      <c r="A19" t="inlineStr">
        <is>
          <t>database</t>
        </is>
      </c>
      <c r="B19" t="inlineStr">
        <is>
          <t>cassandra keyspace</t>
        </is>
      </c>
    </row>
    <row r="20">
      <c r="A20" t="inlineStr">
        <is>
          <t>database</t>
        </is>
      </c>
      <c r="B20" t="inlineStr">
        <is>
          <t>couchbase</t>
        </is>
      </c>
    </row>
    <row r="21">
      <c r="A21" t="inlineStr">
        <is>
          <t>database</t>
        </is>
      </c>
      <c r="B21" t="inlineStr">
        <is>
          <t>db2</t>
        </is>
      </c>
    </row>
    <row r="22">
      <c r="A22" t="inlineStr">
        <is>
          <t>database</t>
        </is>
      </c>
      <c r="B22" t="inlineStr">
        <is>
          <t>elasticsearch</t>
        </is>
      </c>
    </row>
    <row r="23">
      <c r="A23" t="inlineStr">
        <is>
          <t>database</t>
        </is>
      </c>
      <c r="B23" t="inlineStr">
        <is>
          <t>greenplum</t>
        </is>
      </c>
    </row>
    <row r="24">
      <c r="A24" t="inlineStr">
        <is>
          <t>database</t>
        </is>
      </c>
      <c r="B24" t="inlineStr">
        <is>
          <t>ims</t>
        </is>
      </c>
    </row>
    <row r="25">
      <c r="A25" t="inlineStr">
        <is>
          <t>database</t>
        </is>
      </c>
      <c r="B25" t="inlineStr">
        <is>
          <t>jethro</t>
        </is>
      </c>
    </row>
    <row r="26">
      <c r="A26" t="inlineStr">
        <is>
          <t>database</t>
        </is>
      </c>
      <c r="B26" t="inlineStr">
        <is>
          <t>maria</t>
        </is>
      </c>
    </row>
    <row r="27">
      <c r="A27" t="inlineStr">
        <is>
          <t>database</t>
        </is>
      </c>
      <c r="B27" t="inlineStr">
        <is>
          <t>memsql</t>
        </is>
      </c>
    </row>
    <row r="28">
      <c r="A28" t="inlineStr">
        <is>
          <t>database</t>
        </is>
      </c>
      <c r="B28" t="inlineStr">
        <is>
          <t>mongodb</t>
        </is>
      </c>
    </row>
    <row r="29">
      <c r="A29" t="inlineStr">
        <is>
          <t>database</t>
        </is>
      </c>
      <c r="B29" t="inlineStr">
        <is>
          <t>mssql</t>
        </is>
      </c>
    </row>
    <row r="30">
      <c r="A30" t="inlineStr">
        <is>
          <t>database</t>
        </is>
      </c>
      <c r="B30" t="inlineStr">
        <is>
          <t>mysql</t>
        </is>
      </c>
    </row>
    <row r="31">
      <c r="A31" t="inlineStr">
        <is>
          <t>database</t>
        </is>
      </c>
      <c r="B31" t="inlineStr">
        <is>
          <t>neo technology</t>
        </is>
      </c>
    </row>
    <row r="32">
      <c r="A32" t="inlineStr">
        <is>
          <t>database</t>
        </is>
      </c>
      <c r="B32" t="inlineStr">
        <is>
          <t>netezza</t>
        </is>
      </c>
    </row>
    <row r="33">
      <c r="A33" t="inlineStr">
        <is>
          <t>database</t>
        </is>
      </c>
      <c r="B33" t="inlineStr">
        <is>
          <t>nutanic</t>
        </is>
      </c>
    </row>
    <row r="34">
      <c r="A34" t="inlineStr">
        <is>
          <t>database</t>
        </is>
      </c>
      <c r="B34" t="inlineStr">
        <is>
          <t>oracle</t>
        </is>
      </c>
    </row>
    <row r="35">
      <c r="A35" t="inlineStr">
        <is>
          <t>database</t>
        </is>
      </c>
      <c r="B35" t="inlineStr">
        <is>
          <t>oracle pdb</t>
        </is>
      </c>
    </row>
    <row r="36">
      <c r="A36" t="inlineStr">
        <is>
          <t>database</t>
        </is>
      </c>
      <c r="B36" t="inlineStr">
        <is>
          <t>postgres sql</t>
        </is>
      </c>
    </row>
    <row r="37">
      <c r="A37" t="inlineStr">
        <is>
          <t>database</t>
        </is>
      </c>
      <c r="B37" t="inlineStr">
        <is>
          <t>redis</t>
        </is>
      </c>
    </row>
    <row r="38">
      <c r="A38" t="inlineStr">
        <is>
          <t>database</t>
        </is>
      </c>
      <c r="B38" t="inlineStr">
        <is>
          <t>sql server</t>
        </is>
      </c>
    </row>
    <row r="39">
      <c r="A39" t="inlineStr">
        <is>
          <t>database</t>
        </is>
      </c>
      <c r="B39" t="inlineStr">
        <is>
          <t>sybase</t>
        </is>
      </c>
    </row>
    <row r="40">
      <c r="A40" t="inlineStr">
        <is>
          <t>database</t>
        </is>
      </c>
      <c r="B40" t="inlineStr">
        <is>
          <t>yellow brick</t>
        </is>
      </c>
    </row>
    <row r="41">
      <c r="A41" t="inlineStr">
        <is>
          <t>database instance</t>
        </is>
      </c>
      <c r="B41" t="inlineStr">
        <is>
          <t>DB2 subsystem</t>
        </is>
      </c>
    </row>
    <row r="42">
      <c r="A42" t="inlineStr">
        <is>
          <t>database instance</t>
        </is>
      </c>
      <c r="B42" t="inlineStr">
        <is>
          <t>DB2 udb</t>
        </is>
      </c>
    </row>
    <row r="43">
      <c r="A43" t="inlineStr">
        <is>
          <t>database instance</t>
        </is>
      </c>
      <c r="B43" t="inlineStr">
        <is>
          <t>IMS subsystem</t>
        </is>
      </c>
    </row>
    <row r="44">
      <c r="A44" t="inlineStr">
        <is>
          <t>database instance</t>
        </is>
      </c>
      <c r="B44" t="inlineStr">
        <is>
          <t>MSFT sql instance</t>
        </is>
      </c>
    </row>
    <row r="45">
      <c r="A45" t="inlineStr">
        <is>
          <t>database instance</t>
        </is>
      </c>
      <c r="B45" t="inlineStr">
        <is>
          <t>Oracle cdb</t>
        </is>
      </c>
    </row>
    <row r="46">
      <c r="A46" t="inlineStr">
        <is>
          <t>hardware</t>
        </is>
      </c>
      <c r="B46" t="inlineStr">
        <is>
          <t>ac adapter/charger</t>
        </is>
      </c>
    </row>
    <row r="47">
      <c r="A47" t="inlineStr">
        <is>
          <t>hardware</t>
        </is>
      </c>
      <c r="B47" t="inlineStr">
        <is>
          <t>battery</t>
        </is>
      </c>
    </row>
    <row r="48">
      <c r="A48" t="inlineStr">
        <is>
          <t>hardware</t>
        </is>
      </c>
      <c r="B48" t="inlineStr">
        <is>
          <t>component</t>
        </is>
      </c>
    </row>
    <row r="49">
      <c r="A49" t="inlineStr">
        <is>
          <t>hardware</t>
        </is>
      </c>
      <c r="B49" t="inlineStr">
        <is>
          <t>cpu</t>
        </is>
      </c>
    </row>
    <row r="50">
      <c r="A50" t="inlineStr">
        <is>
          <t>hardware</t>
        </is>
      </c>
      <c r="B50" t="inlineStr">
        <is>
          <t>disk</t>
        </is>
      </c>
    </row>
    <row r="51">
      <c r="A51" t="inlineStr">
        <is>
          <t>hardware</t>
        </is>
      </c>
      <c r="B51" t="inlineStr">
        <is>
          <t>headset</t>
        </is>
      </c>
    </row>
    <row r="52">
      <c r="A52" t="inlineStr">
        <is>
          <t>hardware</t>
        </is>
      </c>
      <c r="B52" t="inlineStr">
        <is>
          <t>keyboard</t>
        </is>
      </c>
    </row>
    <row r="53">
      <c r="A53" t="inlineStr">
        <is>
          <t>hardware</t>
        </is>
      </c>
      <c r="B53" t="inlineStr">
        <is>
          <t>laptop hinge</t>
        </is>
      </c>
    </row>
    <row r="54">
      <c r="A54" t="inlineStr">
        <is>
          <t>hardware</t>
        </is>
      </c>
      <c r="B54" t="inlineStr">
        <is>
          <t>maintenance</t>
        </is>
      </c>
    </row>
    <row r="55">
      <c r="A55" t="inlineStr">
        <is>
          <t>hardware</t>
        </is>
      </c>
      <c r="B55" t="inlineStr">
        <is>
          <t>memory</t>
        </is>
      </c>
    </row>
    <row r="56">
      <c r="A56" t="inlineStr">
        <is>
          <t>hardware</t>
        </is>
      </c>
      <c r="B56" t="inlineStr">
        <is>
          <t>monitor</t>
        </is>
      </c>
    </row>
    <row r="57">
      <c r="A57" t="inlineStr">
        <is>
          <t>hardware</t>
        </is>
      </c>
      <c r="B57" t="inlineStr">
        <is>
          <t>motherboard</t>
        </is>
      </c>
    </row>
    <row r="58">
      <c r="A58" t="inlineStr">
        <is>
          <t>hardware</t>
        </is>
      </c>
      <c r="B58" t="inlineStr">
        <is>
          <t>motherboard fan</t>
        </is>
      </c>
    </row>
    <row r="59">
      <c r="A59" t="inlineStr">
        <is>
          <t>hardware</t>
        </is>
      </c>
      <c r="B59" t="inlineStr">
        <is>
          <t>mouse</t>
        </is>
      </c>
    </row>
    <row r="60">
      <c r="A60" t="inlineStr">
        <is>
          <t>hardware</t>
        </is>
      </c>
      <c r="B60" t="inlineStr">
        <is>
          <t>performance</t>
        </is>
      </c>
    </row>
    <row r="61">
      <c r="A61" t="inlineStr">
        <is>
          <t>hardware</t>
        </is>
      </c>
      <c r="B61" t="inlineStr">
        <is>
          <t>printer</t>
        </is>
      </c>
    </row>
    <row r="62">
      <c r="A62" t="inlineStr">
        <is>
          <t>hardware</t>
        </is>
      </c>
      <c r="B62" t="inlineStr">
        <is>
          <t>servers</t>
        </is>
      </c>
    </row>
    <row r="63">
      <c r="A63" t="inlineStr">
        <is>
          <t>hardware</t>
        </is>
      </c>
      <c r="B63" t="inlineStr">
        <is>
          <t>webcam</t>
        </is>
      </c>
    </row>
    <row r="64">
      <c r="A64" t="inlineStr">
        <is>
          <t>hardware</t>
        </is>
      </c>
      <c r="B64" t="inlineStr">
        <is>
          <t>workstation</t>
        </is>
      </c>
    </row>
    <row r="65">
      <c r="A65" t="inlineStr">
        <is>
          <t>inquiry</t>
        </is>
      </c>
      <c r="B65" t="inlineStr">
        <is>
          <t>abandoned callchat</t>
        </is>
      </c>
    </row>
    <row r="66">
      <c r="A66" t="inlineStr">
        <is>
          <t>inquiry</t>
        </is>
      </c>
      <c r="B66" t="inlineStr">
        <is>
          <t>antivirus</t>
        </is>
      </c>
    </row>
    <row r="67">
      <c r="A67" t="inlineStr">
        <is>
          <t>inquiry</t>
        </is>
      </c>
      <c r="B67" t="inlineStr">
        <is>
          <t>email</t>
        </is>
      </c>
    </row>
    <row r="68">
      <c r="A68" t="inlineStr">
        <is>
          <t>inquiry</t>
        </is>
      </c>
      <c r="B68" t="inlineStr">
        <is>
          <t>internal application</t>
        </is>
      </c>
    </row>
    <row r="69">
      <c r="A69" t="inlineStr">
        <is>
          <t>inquiry</t>
        </is>
      </c>
      <c r="B69" t="inlineStr">
        <is>
          <t>meeting room</t>
        </is>
      </c>
    </row>
    <row r="70">
      <c r="A70" t="inlineStr">
        <is>
          <t>network</t>
        </is>
      </c>
      <c r="B70" t="inlineStr">
        <is>
          <t>dhcp</t>
        </is>
      </c>
    </row>
    <row r="71">
      <c r="A71" t="inlineStr">
        <is>
          <t>network</t>
        </is>
      </c>
      <c r="B71" t="inlineStr">
        <is>
          <t>dns</t>
        </is>
      </c>
    </row>
    <row r="72">
      <c r="A72" t="inlineStr">
        <is>
          <t>network</t>
        </is>
      </c>
      <c r="B72" t="inlineStr">
        <is>
          <t>equipment</t>
        </is>
      </c>
    </row>
    <row r="73">
      <c r="A73" t="inlineStr">
        <is>
          <t>network</t>
        </is>
      </c>
      <c r="B73" t="inlineStr">
        <is>
          <t>firewall</t>
        </is>
      </c>
    </row>
    <row r="74">
      <c r="A74" t="inlineStr">
        <is>
          <t>network</t>
        </is>
      </c>
      <c r="B74" t="inlineStr">
        <is>
          <t>ip address</t>
        </is>
      </c>
    </row>
    <row r="75">
      <c r="A75" t="inlineStr">
        <is>
          <t>network</t>
        </is>
      </c>
      <c r="B75" t="inlineStr">
        <is>
          <t>vpn</t>
        </is>
      </c>
    </row>
    <row r="76">
      <c r="A76" t="inlineStr">
        <is>
          <t>network</t>
        </is>
      </c>
      <c r="B76" t="inlineStr">
        <is>
          <t>wireless</t>
        </is>
      </c>
    </row>
    <row r="77">
      <c r="A77" t="inlineStr">
        <is>
          <t>problem resolved</t>
        </is>
      </c>
      <c r="B77" t="inlineStr">
        <is>
          <t>fix applied</t>
        </is>
      </c>
    </row>
    <row r="78">
      <c r="A78" t="inlineStr">
        <is>
          <t>process</t>
        </is>
      </c>
      <c r="B78" t="inlineStr">
        <is>
          <t>communication</t>
        </is>
      </c>
    </row>
    <row r="79">
      <c r="A79" t="inlineStr">
        <is>
          <t>process</t>
        </is>
      </c>
      <c r="B79" t="inlineStr">
        <is>
          <t>deployment</t>
        </is>
      </c>
    </row>
    <row r="80">
      <c r="A80" t="inlineStr">
        <is>
          <t>process</t>
        </is>
      </c>
      <c r="B80" t="inlineStr">
        <is>
          <t>documentation</t>
        </is>
      </c>
    </row>
    <row r="81">
      <c r="A81" t="inlineStr">
        <is>
          <t>process</t>
        </is>
      </c>
      <c r="B81" t="inlineStr">
        <is>
          <t>human_error</t>
        </is>
      </c>
    </row>
    <row r="82">
      <c r="A82" t="inlineStr">
        <is>
          <t>process</t>
        </is>
      </c>
      <c r="B82" t="inlineStr">
        <is>
          <t>testing</t>
        </is>
      </c>
    </row>
    <row r="83">
      <c r="A83" t="inlineStr">
        <is>
          <t>process</t>
        </is>
      </c>
      <c r="B83" t="inlineStr">
        <is>
          <t>training</t>
        </is>
      </c>
    </row>
    <row r="84">
      <c r="A84" t="inlineStr">
        <is>
          <t>software</t>
        </is>
      </c>
      <c r="B84" t="inlineStr">
        <is>
          <t>blue screen</t>
        </is>
      </c>
    </row>
    <row r="85">
      <c r="A85" t="inlineStr">
        <is>
          <t>software</t>
        </is>
      </c>
      <c r="B85" t="inlineStr">
        <is>
          <t>boot time</t>
        </is>
      </c>
    </row>
    <row r="86">
      <c r="A86" t="inlineStr">
        <is>
          <t>software</t>
        </is>
      </c>
      <c r="B86" t="inlineStr">
        <is>
          <t>business</t>
        </is>
      </c>
    </row>
    <row r="87">
      <c r="A87" t="inlineStr">
        <is>
          <t>software</t>
        </is>
      </c>
      <c r="B87" t="inlineStr">
        <is>
          <t>database</t>
        </is>
      </c>
    </row>
    <row r="88">
      <c r="A88" t="inlineStr">
        <is>
          <t>software</t>
        </is>
      </c>
      <c r="B88" t="inlineStr">
        <is>
          <t>email</t>
        </is>
      </c>
    </row>
    <row r="89">
      <c r="A89" t="inlineStr">
        <is>
          <t>software</t>
        </is>
      </c>
      <c r="B89" t="inlineStr">
        <is>
          <t>error</t>
        </is>
      </c>
    </row>
    <row r="90">
      <c r="A90" t="inlineStr">
        <is>
          <t>software</t>
        </is>
      </c>
      <c r="B90" t="inlineStr">
        <is>
          <t>hard reset</t>
        </is>
      </c>
    </row>
    <row r="91">
      <c r="A91" t="inlineStr">
        <is>
          <t>software</t>
        </is>
      </c>
      <c r="B91" t="inlineStr">
        <is>
          <t>install</t>
        </is>
      </c>
    </row>
    <row r="92">
      <c r="A92" t="inlineStr">
        <is>
          <t>software</t>
        </is>
      </c>
      <c r="B92" t="inlineStr">
        <is>
          <t>login time</t>
        </is>
      </c>
    </row>
    <row r="93">
      <c r="A93" t="inlineStr">
        <is>
          <t>software</t>
        </is>
      </c>
      <c r="B93" t="inlineStr">
        <is>
          <t>mobile</t>
        </is>
      </c>
    </row>
    <row r="94">
      <c r="A94" t="inlineStr">
        <is>
          <t>software</t>
        </is>
      </c>
      <c r="B94" t="inlineStr">
        <is>
          <t>os</t>
        </is>
      </c>
    </row>
    <row r="95">
      <c r="A95" t="inlineStr">
        <is>
          <t>software</t>
        </is>
      </c>
      <c r="B95" t="inlineStr">
        <is>
          <t>reboot</t>
        </is>
      </c>
    </row>
    <row r="96">
      <c r="A96" t="inlineStr">
        <is>
          <t>software</t>
        </is>
      </c>
      <c r="B96" t="inlineStr">
        <is>
          <t>system</t>
        </is>
      </c>
    </row>
    <row r="97">
      <c r="A97" t="inlineStr">
        <is>
          <t>telephony</t>
        </is>
      </c>
      <c r="B97" t="inlineStr">
        <is>
          <t>audio</t>
        </is>
      </c>
    </row>
    <row r="98">
      <c r="A98" t="inlineStr">
        <is>
          <t>telephony</t>
        </is>
      </c>
      <c r="B98" t="inlineStr">
        <is>
          <t>configuration</t>
        </is>
      </c>
    </row>
    <row r="99">
      <c r="A99" t="inlineStr">
        <is>
          <t>telephony</t>
        </is>
      </c>
      <c r="B99" t="inlineStr">
        <is>
          <t>ivr</t>
        </is>
      </c>
    </row>
    <row r="100">
      <c r="A100" t="inlineStr">
        <is>
          <t>telephony</t>
        </is>
      </c>
      <c r="B100" t="inlineStr">
        <is>
          <t>phone</t>
        </is>
      </c>
    </row>
    <row r="101">
      <c r="A101" t="inlineStr">
        <is>
          <t>telephony</t>
        </is>
      </c>
      <c r="B101" t="inlineStr">
        <is>
          <t>phone accessory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5" customWidth="1" min="3" max="3"/>
    <col width="18" customWidth="1" min="4" max="4"/>
  </cols>
  <sheetData>
    <row r="1">
      <c r="A1" s="11" t="inlineStr">
        <is>
          <t>Business Service</t>
        </is>
      </c>
      <c r="B1" s="11" t="inlineStr">
        <is>
          <t>Service Offering</t>
        </is>
      </c>
      <c r="C1" s="11" t="inlineStr">
        <is>
          <t>Channel</t>
        </is>
      </c>
      <c r="D1" s="11" t="inlineStr">
        <is>
          <t>Operational Status</t>
        </is>
      </c>
    </row>
    <row r="2">
      <c r="A2" t="inlineStr">
        <is>
          <t>Account Notes</t>
        </is>
      </c>
      <c r="B2" t="inlineStr">
        <is>
          <t>Account Notes - CCP</t>
        </is>
      </c>
      <c r="C2" t="inlineStr">
        <is>
          <t>CCP</t>
        </is>
      </c>
      <c r="D2" t="inlineStr">
        <is>
          <t>Operational</t>
        </is>
      </c>
    </row>
    <row r="3">
      <c r="A3" t="inlineStr">
        <is>
          <t>Account Setup (Merchant)</t>
        </is>
      </c>
      <c r="B3" t="inlineStr">
        <is>
          <t>Account Setup (Merchant) - Batch</t>
        </is>
      </c>
      <c r="C3" t="inlineStr">
        <is>
          <t>Batch</t>
        </is>
      </c>
      <c r="D3" t="inlineStr">
        <is>
          <t>Operational</t>
        </is>
      </c>
    </row>
    <row r="4">
      <c r="A4" t="inlineStr">
        <is>
          <t xml:space="preserve">Activate checking card </t>
        </is>
      </c>
      <c r="B4" t="inlineStr">
        <is>
          <t>Activate checking card  - Web</t>
        </is>
      </c>
      <c r="C4" t="inlineStr">
        <is>
          <t>Web</t>
        </is>
      </c>
      <c r="D4" t="inlineStr">
        <is>
          <t>Operational</t>
        </is>
      </c>
    </row>
    <row r="5">
      <c r="A5" t="inlineStr">
        <is>
          <t xml:space="preserve">Add myself to the waitlist </t>
        </is>
      </c>
      <c r="B5" t="inlineStr">
        <is>
          <t>Add myself to the waitlist  - Backend</t>
        </is>
      </c>
      <c r="C5" t="inlineStr">
        <is>
          <t>Backend</t>
        </is>
      </c>
      <c r="D5" t="inlineStr">
        <is>
          <t>Operational</t>
        </is>
      </c>
    </row>
    <row r="6">
      <c r="A6" t="inlineStr">
        <is>
          <t>Apply for Card (Corporate)</t>
        </is>
      </c>
      <c r="B6" t="inlineStr">
        <is>
          <t>Apply for Card(Corporate) - Web</t>
        </is>
      </c>
      <c r="C6" t="inlineStr">
        <is>
          <t>Web</t>
        </is>
      </c>
      <c r="D6" t="inlineStr">
        <is>
          <t>Operational</t>
        </is>
      </c>
    </row>
    <row r="7">
      <c r="A7" t="inlineStr">
        <is>
          <t>Apply for a Product (Open and Consumer)</t>
        </is>
      </c>
      <c r="B7" t="inlineStr">
        <is>
          <t>Apply for a Product (Open and Consumer) - Web</t>
        </is>
      </c>
      <c r="C7" t="inlineStr">
        <is>
          <t>Web</t>
        </is>
      </c>
      <c r="D7" t="inlineStr">
        <is>
          <t>Operational</t>
        </is>
      </c>
    </row>
    <row r="8">
      <c r="A8" t="inlineStr">
        <is>
          <t>Atwork AIC</t>
        </is>
      </c>
      <c r="B8" t="inlineStr">
        <is>
          <t>Atwork AIC - Web</t>
        </is>
      </c>
      <c r="C8" t="inlineStr">
        <is>
          <t>Web</t>
        </is>
      </c>
      <c r="D8" t="inlineStr">
        <is>
          <t>Operational</t>
        </is>
      </c>
    </row>
    <row r="9">
      <c r="A9" t="inlineStr">
        <is>
          <t>Audit (Merchant)</t>
        </is>
      </c>
      <c r="B9" t="inlineStr">
        <is>
          <t>Audit (Merchant) - Batch</t>
        </is>
      </c>
      <c r="C9" t="inlineStr">
        <is>
          <t>Batch</t>
        </is>
      </c>
      <c r="D9" t="inlineStr">
        <is>
          <t>Operational</t>
        </is>
      </c>
    </row>
    <row r="10">
      <c r="A10" t="inlineStr">
        <is>
          <t>Authorize a Debit Purchase</t>
        </is>
      </c>
      <c r="B10" t="inlineStr">
        <is>
          <t>Authorize a Debit Purchase - ATM</t>
        </is>
      </c>
      <c r="C10" t="inlineStr">
        <is>
          <t>ATM</t>
        </is>
      </c>
      <c r="D10" t="inlineStr">
        <is>
          <t>Operational</t>
        </is>
      </c>
    </row>
    <row r="11">
      <c r="A11" t="inlineStr">
        <is>
          <t>Authorize a Debit Purchase</t>
        </is>
      </c>
      <c r="B11" t="inlineStr">
        <is>
          <t>Authorize a Debit Purchase - POS</t>
        </is>
      </c>
      <c r="C11" t="inlineStr">
        <is>
          <t>POS</t>
        </is>
      </c>
      <c r="D11" t="inlineStr">
        <is>
          <t>Operational</t>
        </is>
      </c>
    </row>
    <row r="12">
      <c r="A12" t="inlineStr">
        <is>
          <t>Authorize a Retail Purchase</t>
        </is>
      </c>
      <c r="B12" t="inlineStr">
        <is>
          <t>Authorize a Retail Purchase - ATM</t>
        </is>
      </c>
      <c r="C12" t="inlineStr">
        <is>
          <t>ATM</t>
        </is>
      </c>
      <c r="D12" t="inlineStr">
        <is>
          <t>Operational</t>
        </is>
      </c>
    </row>
    <row r="13">
      <c r="A13" t="inlineStr">
        <is>
          <t>Authorize a Retail Purchase</t>
        </is>
      </c>
      <c r="B13" t="inlineStr">
        <is>
          <t>Authorize a Retail Purchase - POS</t>
        </is>
      </c>
      <c r="C13" t="inlineStr">
        <is>
          <t>POS</t>
        </is>
      </c>
      <c r="D13" t="inlineStr">
        <is>
          <t>Operational</t>
        </is>
      </c>
    </row>
    <row r="14">
      <c r="A14" t="inlineStr">
        <is>
          <t>Autopay (Corporate)</t>
        </is>
      </c>
      <c r="B14" t="inlineStr">
        <is>
          <t>Autopay (Corporate) - Web</t>
        </is>
      </c>
      <c r="C14" t="inlineStr">
        <is>
          <t>Web</t>
        </is>
      </c>
      <c r="D14" t="inlineStr">
        <is>
          <t>Operational</t>
        </is>
      </c>
    </row>
    <row r="15">
      <c r="A15" t="inlineStr">
        <is>
          <t>Banking Information (Merchant)</t>
        </is>
      </c>
      <c r="B15" t="inlineStr">
        <is>
          <t>Banking Information (Merchant) - Batch</t>
        </is>
      </c>
      <c r="C15" t="inlineStr">
        <is>
          <t>Batch</t>
        </is>
      </c>
      <c r="D15" t="inlineStr">
        <is>
          <t>Operational</t>
        </is>
      </c>
    </row>
    <row r="16">
      <c r="A16" t="inlineStr">
        <is>
          <t>Cancel My Card (Consumer)</t>
        </is>
      </c>
      <c r="B16" t="inlineStr">
        <is>
          <t>Cancel My Card (Consumer) - CCP</t>
        </is>
      </c>
      <c r="C16" t="inlineStr">
        <is>
          <t>CCP</t>
        </is>
      </c>
      <c r="D16" t="inlineStr">
        <is>
          <t>Operational</t>
        </is>
      </c>
    </row>
    <row r="17">
      <c r="A17" t="inlineStr">
        <is>
          <t>Cancel my Card (Corporate)</t>
        </is>
      </c>
      <c r="B17" t="inlineStr">
        <is>
          <t>Cancel my Card (Corporate) - Web</t>
        </is>
      </c>
      <c r="C17" t="inlineStr">
        <is>
          <t>Web</t>
        </is>
      </c>
      <c r="D17" t="inlineStr">
        <is>
          <t>Operational</t>
        </is>
      </c>
    </row>
    <row r="18">
      <c r="A18" t="inlineStr">
        <is>
          <t>Card Replacement</t>
        </is>
      </c>
      <c r="B18" t="inlineStr">
        <is>
          <t>Card Replacement - CCP</t>
        </is>
      </c>
      <c r="C18" t="inlineStr">
        <is>
          <t>CCP</t>
        </is>
      </c>
      <c r="D18" t="inlineStr">
        <is>
          <t>Operational</t>
        </is>
      </c>
    </row>
    <row r="19">
      <c r="A19" t="inlineStr">
        <is>
          <t>Card Replacement</t>
        </is>
      </c>
      <c r="B19" t="inlineStr">
        <is>
          <t>Card Replacement - IVR</t>
        </is>
      </c>
      <c r="C19" t="inlineStr">
        <is>
          <t>IVR</t>
        </is>
      </c>
      <c r="D19" t="inlineStr">
        <is>
          <t>Operational</t>
        </is>
      </c>
    </row>
    <row r="20">
      <c r="A20" t="inlineStr">
        <is>
          <t>Card Replacement</t>
        </is>
      </c>
      <c r="B20" t="inlineStr">
        <is>
          <t>Card Replacement - Mobile</t>
        </is>
      </c>
      <c r="C20" t="inlineStr">
        <is>
          <t>Mobile</t>
        </is>
      </c>
      <c r="D20" t="inlineStr">
        <is>
          <t>Operational</t>
        </is>
      </c>
    </row>
    <row r="21">
      <c r="A21" t="inlineStr">
        <is>
          <t>Card Replacement</t>
        </is>
      </c>
      <c r="B21" t="inlineStr">
        <is>
          <t>Card Replacement - Web</t>
        </is>
      </c>
      <c r="C21" t="inlineStr">
        <is>
          <t>Web</t>
        </is>
      </c>
      <c r="D21" t="inlineStr">
        <is>
          <t>Operational</t>
        </is>
      </c>
    </row>
    <row r="22">
      <c r="A22" t="inlineStr">
        <is>
          <t>Change checking PIN</t>
        </is>
      </c>
      <c r="B22" t="inlineStr">
        <is>
          <t>Change checking PIN - Web</t>
        </is>
      </c>
      <c r="C22" t="inlineStr">
        <is>
          <t>Web</t>
        </is>
      </c>
      <c r="D22" t="inlineStr">
        <is>
          <t>Operational</t>
        </is>
      </c>
    </row>
    <row r="23">
      <c r="A23" t="inlineStr">
        <is>
          <t>Change my Card Product</t>
        </is>
      </c>
      <c r="B23" t="inlineStr">
        <is>
          <t>Upgrade Card - CCP</t>
        </is>
      </c>
      <c r="C23" t="inlineStr">
        <is>
          <t>CCP</t>
        </is>
      </c>
      <c r="D23" t="inlineStr">
        <is>
          <t>Operational</t>
        </is>
      </c>
    </row>
    <row r="24">
      <c r="A24" t="inlineStr">
        <is>
          <t>Change my Card Product</t>
        </is>
      </c>
      <c r="B24" t="inlineStr">
        <is>
          <t>Upgrade Card - Web</t>
        </is>
      </c>
      <c r="C24" t="inlineStr">
        <is>
          <t>Web</t>
        </is>
      </c>
      <c r="D24" t="inlineStr">
        <is>
          <t>Operational</t>
        </is>
      </c>
    </row>
    <row r="25">
      <c r="A25" t="inlineStr">
        <is>
          <t>Colleague Help Center</t>
        </is>
      </c>
      <c r="B25" t="inlineStr">
        <is>
          <t>Colleague Help Center - Web</t>
        </is>
      </c>
      <c r="C25" t="inlineStr">
        <is>
          <t>Web</t>
        </is>
      </c>
      <c r="D25" t="inlineStr">
        <is>
          <t>Operational</t>
        </is>
      </c>
    </row>
    <row r="26">
      <c r="A26" t="inlineStr">
        <is>
          <t>Core Infrastructure Applications</t>
        </is>
      </c>
      <c r="B26" t="inlineStr">
        <is>
          <t>Core Infrastructure Applications - Web</t>
        </is>
      </c>
      <c r="C26" t="inlineStr">
        <is>
          <t>Web</t>
        </is>
      </c>
      <c r="D26" t="inlineStr">
        <is>
          <t>Operational</t>
        </is>
      </c>
    </row>
    <row r="27">
      <c r="A27" t="inlineStr">
        <is>
          <t>Credit Account Maintenance</t>
        </is>
      </c>
      <c r="B27" t="inlineStr">
        <is>
          <t>Credit Account Maintenance - CCP</t>
        </is>
      </c>
      <c r="C27" t="inlineStr">
        <is>
          <t>CCP</t>
        </is>
      </c>
      <c r="D27" t="inlineStr">
        <is>
          <t>Operational</t>
        </is>
      </c>
    </row>
    <row r="28">
      <c r="A28" t="inlineStr">
        <is>
          <t>Data Localization</t>
        </is>
      </c>
      <c r="B28" t="inlineStr">
        <is>
          <t>India Data Localization</t>
        </is>
      </c>
      <c r="C28" t="inlineStr"/>
      <c r="D28" t="inlineStr">
        <is>
          <t>Operational</t>
        </is>
      </c>
    </row>
    <row r="29">
      <c r="A29" t="inlineStr">
        <is>
          <t>Dispute a Transaction</t>
        </is>
      </c>
      <c r="B29" t="inlineStr">
        <is>
          <t>Dispute a Transaction - CCP</t>
        </is>
      </c>
      <c r="C29" t="inlineStr">
        <is>
          <t>CCP</t>
        </is>
      </c>
      <c r="D29" t="inlineStr">
        <is>
          <t>Operational</t>
        </is>
      </c>
    </row>
    <row r="30">
      <c r="A30" t="inlineStr">
        <is>
          <t>Dispute a Transaction</t>
        </is>
      </c>
      <c r="B30" t="inlineStr">
        <is>
          <t>Dispute a Transaction - Web</t>
        </is>
      </c>
      <c r="C30" t="inlineStr">
        <is>
          <t>Web</t>
        </is>
      </c>
      <c r="D30" t="inlineStr">
        <is>
          <t>Operational</t>
        </is>
      </c>
    </row>
    <row r="31">
      <c r="A31" t="inlineStr">
        <is>
          <t>Distribute Payments (Merchant)</t>
        </is>
      </c>
      <c r="B31" t="inlineStr">
        <is>
          <t>Distribute Payments (Merchant) - Batch</t>
        </is>
      </c>
      <c r="C31" t="inlineStr">
        <is>
          <t>Batch</t>
        </is>
      </c>
      <c r="D31" t="inlineStr">
        <is>
          <t>Operational</t>
        </is>
      </c>
    </row>
    <row r="32">
      <c r="A32" t="inlineStr">
        <is>
          <t>Financial Relief Program (Consumer)</t>
        </is>
      </c>
      <c r="B32" t="inlineStr">
        <is>
          <t>Financial Relief Program (Consumer) - CCP</t>
        </is>
      </c>
      <c r="C32" t="inlineStr">
        <is>
          <t>CCP</t>
        </is>
      </c>
      <c r="D32" t="inlineStr">
        <is>
          <t>Operational</t>
        </is>
      </c>
    </row>
    <row r="33">
      <c r="A33" t="inlineStr">
        <is>
          <t>Financial Updates (Merchant)</t>
        </is>
      </c>
      <c r="B33" t="inlineStr">
        <is>
          <t>Financial Updates (Merchant) - Batch</t>
        </is>
      </c>
      <c r="C33" t="inlineStr">
        <is>
          <t>Batch</t>
        </is>
      </c>
      <c r="D33" t="inlineStr">
        <is>
          <t>Operational</t>
        </is>
      </c>
    </row>
    <row r="34">
      <c r="A34" t="inlineStr">
        <is>
          <t>Fraud Account Maintenance</t>
        </is>
      </c>
      <c r="B34" t="inlineStr">
        <is>
          <t>Fraud Account Maintenance - CCP</t>
        </is>
      </c>
      <c r="C34" t="inlineStr">
        <is>
          <t>CCP</t>
        </is>
      </c>
      <c r="D34" t="inlineStr">
        <is>
          <t>Operational</t>
        </is>
      </c>
    </row>
    <row r="35">
      <c r="A35" t="inlineStr">
        <is>
          <t>Freeze/Unfreeze Card</t>
        </is>
      </c>
      <c r="B35" t="inlineStr">
        <is>
          <t>Freeze/Unfreeze Card - CCP</t>
        </is>
      </c>
      <c r="C35" t="inlineStr">
        <is>
          <t>CCP</t>
        </is>
      </c>
      <c r="D35" t="inlineStr">
        <is>
          <t>Operational</t>
        </is>
      </c>
    </row>
    <row r="36">
      <c r="A36" t="inlineStr">
        <is>
          <t>Freeze/Unfreeze Card</t>
        </is>
      </c>
      <c r="B36" t="inlineStr">
        <is>
          <t>Freeze/Unfreeze Card - IVR</t>
        </is>
      </c>
      <c r="C36" t="inlineStr">
        <is>
          <t>IVR</t>
        </is>
      </c>
      <c r="D36" t="inlineStr">
        <is>
          <t>Operational</t>
        </is>
      </c>
    </row>
    <row r="37">
      <c r="A37" t="inlineStr">
        <is>
          <t>Freeze/Unfreeze Card</t>
        </is>
      </c>
      <c r="B37" t="inlineStr">
        <is>
          <t>Freeze/Unfreeze Card - Mobile</t>
        </is>
      </c>
      <c r="C37" t="inlineStr">
        <is>
          <t>Mobile</t>
        </is>
      </c>
      <c r="D37" t="inlineStr">
        <is>
          <t>Operational</t>
        </is>
      </c>
    </row>
    <row r="38">
      <c r="A38" t="inlineStr">
        <is>
          <t>Freeze/Unfreeze Card</t>
        </is>
      </c>
      <c r="B38" t="inlineStr">
        <is>
          <t>Freeze/Unfreeze Card - Web</t>
        </is>
      </c>
      <c r="C38" t="inlineStr">
        <is>
          <t>Web</t>
        </is>
      </c>
      <c r="D38" t="inlineStr">
        <is>
          <t>Operational</t>
        </is>
      </c>
    </row>
    <row r="39">
      <c r="A39" t="inlineStr">
        <is>
          <t>Get a Personal Loan</t>
        </is>
      </c>
      <c r="B39" t="inlineStr">
        <is>
          <t>Get a Personal Loan - Web</t>
        </is>
      </c>
      <c r="C39" t="inlineStr">
        <is>
          <t>Web</t>
        </is>
      </c>
      <c r="D39" t="inlineStr">
        <is>
          <t>Operational</t>
        </is>
      </c>
    </row>
    <row r="40">
      <c r="A40" t="inlineStr">
        <is>
          <t>Global Corporate Onboarding</t>
        </is>
      </c>
      <c r="B40" t="inlineStr">
        <is>
          <t>Global Corporate Onboarding - Web</t>
        </is>
      </c>
      <c r="C40" t="inlineStr">
        <is>
          <t>Web</t>
        </is>
      </c>
      <c r="D40" t="inlineStr">
        <is>
          <t>Operational</t>
        </is>
      </c>
    </row>
    <row r="41">
      <c r="A41" t="inlineStr">
        <is>
          <t>I want to Store my Card securely</t>
        </is>
      </c>
      <c r="B41" t="inlineStr">
        <is>
          <t>I want to Store my Card securely - Web</t>
        </is>
      </c>
      <c r="C41" t="inlineStr">
        <is>
          <t>Web</t>
        </is>
      </c>
      <c r="D41" t="inlineStr">
        <is>
          <t>Operational</t>
        </is>
      </c>
    </row>
    <row r="42">
      <c r="A42" t="inlineStr">
        <is>
          <t>I want to add my card to Google Chrome</t>
        </is>
      </c>
      <c r="B42" t="inlineStr">
        <is>
          <t>I want to add my card to Google Chrome - Web</t>
        </is>
      </c>
      <c r="C42" t="inlineStr">
        <is>
          <t>Web</t>
        </is>
      </c>
      <c r="D42" t="inlineStr">
        <is>
          <t>Operational</t>
        </is>
      </c>
    </row>
    <row r="43">
      <c r="A43" t="inlineStr">
        <is>
          <t>I want to apply for a checking account</t>
        </is>
      </c>
      <c r="B43" t="inlineStr">
        <is>
          <t>I want to apply for a checking account - Web</t>
        </is>
      </c>
      <c r="C43" t="inlineStr">
        <is>
          <t>Web</t>
        </is>
      </c>
      <c r="D43" t="inlineStr">
        <is>
          <t>Operational</t>
        </is>
      </c>
    </row>
    <row r="44">
      <c r="A44" t="inlineStr">
        <is>
          <t>I want to be authenticated</t>
        </is>
      </c>
      <c r="B44" t="inlineStr">
        <is>
          <t>I want to be authenticated - CCP</t>
        </is>
      </c>
      <c r="C44" t="inlineStr">
        <is>
          <t>CCP</t>
        </is>
      </c>
      <c r="D44" t="inlineStr">
        <is>
          <t>Operational</t>
        </is>
      </c>
    </row>
    <row r="45">
      <c r="A45" t="inlineStr">
        <is>
          <t>I want to be authenticated</t>
        </is>
      </c>
      <c r="B45" t="inlineStr">
        <is>
          <t>I want to be authenticated - IVR</t>
        </is>
      </c>
      <c r="C45" t="inlineStr">
        <is>
          <t>IVR</t>
        </is>
      </c>
      <c r="D45" t="inlineStr">
        <is>
          <t>Operational</t>
        </is>
      </c>
    </row>
    <row r="46">
      <c r="A46" t="inlineStr">
        <is>
          <t>I want to be authenticated</t>
        </is>
      </c>
      <c r="B46" t="inlineStr">
        <is>
          <t>I want to be authenticated - Mobile</t>
        </is>
      </c>
      <c r="C46" t="inlineStr">
        <is>
          <t>Mobile</t>
        </is>
      </c>
      <c r="D46" t="inlineStr">
        <is>
          <t>Operational</t>
        </is>
      </c>
    </row>
    <row r="47">
      <c r="A47" t="inlineStr">
        <is>
          <t>I want to be authenticated</t>
        </is>
      </c>
      <c r="B47" t="inlineStr">
        <is>
          <t>I want to be authenticated - Web</t>
        </is>
      </c>
      <c r="C47" t="inlineStr">
        <is>
          <t>Web</t>
        </is>
      </c>
      <c r="D47" t="inlineStr">
        <is>
          <t>Operational</t>
        </is>
      </c>
    </row>
    <row r="48">
      <c r="A48" t="inlineStr">
        <is>
          <t>I want to chat with Amex (Ask Amex)</t>
        </is>
      </c>
      <c r="B48" t="inlineStr">
        <is>
          <t>I want to chat with Amex (Ask Amex) - Mobile</t>
        </is>
      </c>
      <c r="C48" t="inlineStr">
        <is>
          <t>Mobile</t>
        </is>
      </c>
      <c r="D48" t="inlineStr">
        <is>
          <t>Operational</t>
        </is>
      </c>
    </row>
    <row r="49">
      <c r="A49" t="inlineStr">
        <is>
          <t>I want to chat with Amex (Ask Amex)</t>
        </is>
      </c>
      <c r="B49" t="inlineStr">
        <is>
          <t>I want to chat with Amex (Ask Amex) - Web</t>
        </is>
      </c>
      <c r="C49" t="inlineStr">
        <is>
          <t>Web</t>
        </is>
      </c>
      <c r="D49" t="inlineStr">
        <is>
          <t>Operational</t>
        </is>
      </c>
    </row>
    <row r="50">
      <c r="A50" t="inlineStr">
        <is>
          <t>I want to fund my checking account</t>
        </is>
      </c>
      <c r="B50" t="inlineStr">
        <is>
          <t>I want to fund my checking account - Mobile</t>
        </is>
      </c>
      <c r="C50" t="inlineStr">
        <is>
          <t>Mobile</t>
        </is>
      </c>
      <c r="D50" t="inlineStr">
        <is>
          <t>Operational</t>
        </is>
      </c>
    </row>
    <row r="51">
      <c r="A51" t="inlineStr">
        <is>
          <t>I want to fund my checking account</t>
        </is>
      </c>
      <c r="B51" t="inlineStr">
        <is>
          <t>I want to fund my checking account - Web</t>
        </is>
      </c>
      <c r="C51" t="inlineStr">
        <is>
          <t>Web</t>
        </is>
      </c>
      <c r="D51" t="inlineStr">
        <is>
          <t>Operational</t>
        </is>
      </c>
    </row>
    <row r="52">
      <c r="A52" t="inlineStr">
        <is>
          <t>I want to interact with americanexpress.com</t>
        </is>
      </c>
      <c r="B52" t="inlineStr">
        <is>
          <t>I want to interact with americanexpress.com - Web</t>
        </is>
      </c>
      <c r="C52" t="inlineStr">
        <is>
          <t>Web</t>
        </is>
      </c>
      <c r="D52" t="inlineStr">
        <is>
          <t>Operational</t>
        </is>
      </c>
    </row>
    <row r="53">
      <c r="A53" t="inlineStr">
        <is>
          <t>I want to interact with the Amex mobile app</t>
        </is>
      </c>
      <c r="B53" t="inlineStr">
        <is>
          <t>I want to interact with the Amex mobile app - Mobile</t>
        </is>
      </c>
      <c r="C53" t="inlineStr">
        <is>
          <t>Mobile</t>
        </is>
      </c>
      <c r="D53" t="inlineStr">
        <is>
          <t>Operational</t>
        </is>
      </c>
    </row>
    <row r="54">
      <c r="A54" t="inlineStr">
        <is>
          <t>I want to move money in my checking account</t>
        </is>
      </c>
      <c r="B54" t="inlineStr">
        <is>
          <t>I want to move money in my checking account - Mobile</t>
        </is>
      </c>
      <c r="C54" t="inlineStr">
        <is>
          <t>Mobile</t>
        </is>
      </c>
      <c r="D54" t="inlineStr">
        <is>
          <t>Operational</t>
        </is>
      </c>
    </row>
    <row r="55">
      <c r="A55" t="inlineStr">
        <is>
          <t>I want to move money in my checking account</t>
        </is>
      </c>
      <c r="B55" t="inlineStr">
        <is>
          <t>I want to move money in my checking account - Web</t>
        </is>
      </c>
      <c r="C55" t="inlineStr">
        <is>
          <t>Web</t>
        </is>
      </c>
      <c r="D55" t="inlineStr">
        <is>
          <t>Operational</t>
        </is>
      </c>
    </row>
    <row r="56">
      <c r="A56" t="inlineStr">
        <is>
          <t>I want to pay with my checking account</t>
        </is>
      </c>
      <c r="B56" t="inlineStr">
        <is>
          <t>I want to pay with my checking account - Mobile</t>
        </is>
      </c>
      <c r="C56" t="inlineStr">
        <is>
          <t>Mobile</t>
        </is>
      </c>
      <c r="D56" t="inlineStr">
        <is>
          <t>Operational</t>
        </is>
      </c>
    </row>
    <row r="57">
      <c r="A57" t="inlineStr">
        <is>
          <t>I want to pay with my checking account</t>
        </is>
      </c>
      <c r="B57" t="inlineStr">
        <is>
          <t>I want to pay with my checking account - Web</t>
        </is>
      </c>
      <c r="C57" t="inlineStr">
        <is>
          <t>Web</t>
        </is>
      </c>
      <c r="D57" t="inlineStr">
        <is>
          <t>Operational</t>
        </is>
      </c>
    </row>
    <row r="58">
      <c r="A58" t="inlineStr">
        <is>
          <t>I want to talk with a Care Professional</t>
        </is>
      </c>
      <c r="B58" t="inlineStr">
        <is>
          <t>I want to talk with a Care Professional - CCP</t>
        </is>
      </c>
      <c r="C58" t="inlineStr">
        <is>
          <t>CCP</t>
        </is>
      </c>
      <c r="D58" t="inlineStr">
        <is>
          <t>Operational</t>
        </is>
      </c>
    </row>
    <row r="59">
      <c r="A59" t="inlineStr">
        <is>
          <t>I want to track my rewards balance</t>
        </is>
      </c>
      <c r="B59" t="inlineStr">
        <is>
          <t>I want to track my rewards balance - Mobile</t>
        </is>
      </c>
      <c r="C59" t="inlineStr">
        <is>
          <t>Mobile</t>
        </is>
      </c>
      <c r="D59" t="inlineStr">
        <is>
          <t>Operational</t>
        </is>
      </c>
    </row>
    <row r="60">
      <c r="A60" t="inlineStr">
        <is>
          <t>I want to track my rewards balance</t>
        </is>
      </c>
      <c r="B60" t="inlineStr">
        <is>
          <t>I want to track my rewards balance - Web</t>
        </is>
      </c>
      <c r="C60" t="inlineStr">
        <is>
          <t>Web</t>
        </is>
      </c>
      <c r="D60" t="inlineStr">
        <is>
          <t>Operational</t>
        </is>
      </c>
    </row>
    <row r="61">
      <c r="A61" t="inlineStr">
        <is>
          <t xml:space="preserve">I want to update my KYC information </t>
        </is>
      </c>
      <c r="B61" t="inlineStr">
        <is>
          <t>I want to update my KYC information  - Web</t>
        </is>
      </c>
      <c r="C61" t="inlineStr">
        <is>
          <t>Web</t>
        </is>
      </c>
      <c r="D61" t="inlineStr">
        <is>
          <t>Operational</t>
        </is>
      </c>
    </row>
    <row r="62">
      <c r="A62" t="inlineStr">
        <is>
          <t>I want to use the Amex VR system</t>
        </is>
      </c>
      <c r="B62" t="inlineStr">
        <is>
          <t>I want to use the Amex VR system - IVR</t>
        </is>
      </c>
      <c r="C62" t="inlineStr">
        <is>
          <t>IVR</t>
        </is>
      </c>
      <c r="D62" t="inlineStr">
        <is>
          <t>Operational</t>
        </is>
      </c>
    </row>
    <row r="63">
      <c r="A63" t="inlineStr">
        <is>
          <t>I want to view a Card Member's Account (CSP)</t>
        </is>
      </c>
      <c r="B63" t="inlineStr">
        <is>
          <t>I want to view a Card Member's Account (CSP) - CCP</t>
        </is>
      </c>
      <c r="C63" t="inlineStr">
        <is>
          <t>CCP</t>
        </is>
      </c>
      <c r="D63" t="inlineStr">
        <is>
          <t>Operational</t>
        </is>
      </c>
    </row>
    <row r="64">
      <c r="A64" t="inlineStr">
        <is>
          <t>Instant Account</t>
        </is>
      </c>
      <c r="B64" t="inlineStr">
        <is>
          <t>Instant Account - Web</t>
        </is>
      </c>
      <c r="C64" t="inlineStr">
        <is>
          <t>Web</t>
        </is>
      </c>
      <c r="D64" t="inlineStr">
        <is>
          <t>Operational</t>
        </is>
      </c>
    </row>
    <row r="65">
      <c r="A65" t="inlineStr">
        <is>
          <t>LTR (Merchant)</t>
        </is>
      </c>
      <c r="B65" t="inlineStr">
        <is>
          <t>LTR (Merchant) - Batch</t>
        </is>
      </c>
      <c r="C65" t="inlineStr">
        <is>
          <t>Batch</t>
        </is>
      </c>
      <c r="D65" t="inlineStr">
        <is>
          <t>Operational</t>
        </is>
      </c>
    </row>
    <row r="66">
      <c r="A66" t="inlineStr">
        <is>
          <t>Mobile Wallet</t>
        </is>
      </c>
      <c r="B66" t="inlineStr">
        <is>
          <t>Mobile Wallet - Mobile</t>
        </is>
      </c>
      <c r="C66" t="inlineStr">
        <is>
          <t>Mobile</t>
        </is>
      </c>
      <c r="D66" t="inlineStr">
        <is>
          <t>Operational</t>
        </is>
      </c>
    </row>
    <row r="67">
      <c r="A67" t="inlineStr">
        <is>
          <t>Offer eligibility / enrollment</t>
        </is>
      </c>
      <c r="B67" t="inlineStr">
        <is>
          <t>Offer eligibility / enrollment - Email</t>
        </is>
      </c>
      <c r="C67" t="inlineStr">
        <is>
          <t>Email</t>
        </is>
      </c>
      <c r="D67" t="inlineStr">
        <is>
          <t>Operational</t>
        </is>
      </c>
    </row>
    <row r="68">
      <c r="A68" t="inlineStr">
        <is>
          <t>Offer eligibility / enrollment</t>
        </is>
      </c>
      <c r="B68" t="inlineStr">
        <is>
          <t>Offer eligibility / enrollment - Mobile</t>
        </is>
      </c>
      <c r="C68" t="inlineStr">
        <is>
          <t>Mobile</t>
        </is>
      </c>
      <c r="D68" t="inlineStr">
        <is>
          <t>Operational</t>
        </is>
      </c>
    </row>
    <row r="69">
      <c r="A69" t="inlineStr">
        <is>
          <t>Offer eligibility / enrollment</t>
        </is>
      </c>
      <c r="B69" t="inlineStr">
        <is>
          <t>Offer eligibility / enrollment - Web</t>
        </is>
      </c>
      <c r="C69" t="inlineStr">
        <is>
          <t>Web</t>
        </is>
      </c>
      <c r="D69" t="inlineStr">
        <is>
          <t>Operational</t>
        </is>
      </c>
    </row>
    <row r="70">
      <c r="A70" t="inlineStr">
        <is>
          <t>Online Retail Purchase (Safekey)</t>
        </is>
      </c>
      <c r="B70" t="inlineStr">
        <is>
          <t>Online Retail Purchase (Safekey) - Web</t>
        </is>
      </c>
      <c r="C70" t="inlineStr">
        <is>
          <t>Web</t>
        </is>
      </c>
      <c r="D70" t="inlineStr">
        <is>
          <t>Operational</t>
        </is>
      </c>
    </row>
    <row r="71">
      <c r="A71" t="inlineStr">
        <is>
          <t>Outbound Credit Call</t>
        </is>
      </c>
      <c r="B71" t="inlineStr">
        <is>
          <t>Outbound Credit Call - Batch</t>
        </is>
      </c>
      <c r="C71" t="inlineStr">
        <is>
          <t>Batch</t>
        </is>
      </c>
      <c r="D71" t="inlineStr">
        <is>
          <t>Operational</t>
        </is>
      </c>
    </row>
    <row r="72">
      <c r="A72" t="inlineStr">
        <is>
          <t>Outbound Credit Call</t>
        </is>
      </c>
      <c r="B72" t="inlineStr">
        <is>
          <t>Outbound Credit Call - CCP</t>
        </is>
      </c>
      <c r="C72" t="inlineStr">
        <is>
          <t>CCP</t>
        </is>
      </c>
      <c r="D72" t="inlineStr">
        <is>
          <t>Operational</t>
        </is>
      </c>
    </row>
    <row r="73">
      <c r="A73" t="inlineStr">
        <is>
          <t>PNR Ticketing</t>
        </is>
      </c>
      <c r="B73" t="inlineStr">
        <is>
          <t>PNR Ticketing - Web</t>
        </is>
      </c>
      <c r="C73" t="inlineStr">
        <is>
          <t>Web</t>
        </is>
      </c>
      <c r="D73" t="inlineStr">
        <is>
          <t>Operational</t>
        </is>
      </c>
    </row>
    <row r="74">
      <c r="A74" t="inlineStr">
        <is>
          <t>Pay a Bill (Consumer)</t>
        </is>
      </c>
      <c r="B74" t="inlineStr">
        <is>
          <t>Pay a Bill (Consumer) - CCP</t>
        </is>
      </c>
      <c r="C74" t="inlineStr">
        <is>
          <t>CCP</t>
        </is>
      </c>
      <c r="D74" t="inlineStr">
        <is>
          <t>Operational</t>
        </is>
      </c>
    </row>
    <row r="75">
      <c r="A75" t="inlineStr">
        <is>
          <t>Pay a Bill (Consumer)</t>
        </is>
      </c>
      <c r="B75" t="inlineStr">
        <is>
          <t>Pay a Bill (Consumer) - IVR</t>
        </is>
      </c>
      <c r="C75" t="inlineStr">
        <is>
          <t>IVR</t>
        </is>
      </c>
      <c r="D75" t="inlineStr">
        <is>
          <t>Operational</t>
        </is>
      </c>
    </row>
    <row r="76">
      <c r="A76" t="inlineStr">
        <is>
          <t>Pay a Bill (Consumer)</t>
        </is>
      </c>
      <c r="B76" t="inlineStr">
        <is>
          <t>Pay a Bill (Consumer) - Mobile</t>
        </is>
      </c>
      <c r="C76" t="inlineStr">
        <is>
          <t>Mobile</t>
        </is>
      </c>
      <c r="D76" t="inlineStr">
        <is>
          <t>Operational</t>
        </is>
      </c>
    </row>
    <row r="77">
      <c r="A77" t="inlineStr">
        <is>
          <t>Pay a Bill (Consumer)</t>
        </is>
      </c>
      <c r="B77" t="inlineStr">
        <is>
          <t>Pay a Bill (Consumer) - Web</t>
        </is>
      </c>
      <c r="C77" t="inlineStr">
        <is>
          <t>Web</t>
        </is>
      </c>
      <c r="D77" t="inlineStr">
        <is>
          <t>Operational</t>
        </is>
      </c>
    </row>
    <row r="78">
      <c r="A78" t="inlineStr">
        <is>
          <t>Pay a Bill (Corporate)</t>
        </is>
      </c>
      <c r="B78" t="inlineStr">
        <is>
          <t>Pay a Bill (Corporate) - Web</t>
        </is>
      </c>
      <c r="C78" t="inlineStr">
        <is>
          <t>Web</t>
        </is>
      </c>
      <c r="D78" t="inlineStr">
        <is>
          <t>Operational</t>
        </is>
      </c>
    </row>
    <row r="79">
      <c r="A79" t="inlineStr">
        <is>
          <t>Payments Network</t>
        </is>
      </c>
      <c r="B79" t="inlineStr">
        <is>
          <t>Payment Network Service Offering</t>
        </is>
      </c>
      <c r="C79" t="inlineStr"/>
      <c r="D79" t="inlineStr">
        <is>
          <t>Operational</t>
        </is>
      </c>
    </row>
    <row r="80">
      <c r="A80" t="inlineStr">
        <is>
          <t>Personal Savings</t>
        </is>
      </c>
      <c r="B80" t="inlineStr">
        <is>
          <t>Personal Savings - Web</t>
        </is>
      </c>
      <c r="C80" t="inlineStr">
        <is>
          <t>Web</t>
        </is>
      </c>
      <c r="D80" t="inlineStr">
        <is>
          <t>Operational</t>
        </is>
      </c>
    </row>
    <row r="81">
      <c r="A81" t="inlineStr">
        <is>
          <t>Reserve Room</t>
        </is>
      </c>
      <c r="B81" t="inlineStr">
        <is>
          <t>Reserve Room - Web</t>
        </is>
      </c>
      <c r="C81" t="inlineStr">
        <is>
          <t>Web</t>
        </is>
      </c>
      <c r="D81" t="inlineStr">
        <is>
          <t>Operational</t>
        </is>
      </c>
    </row>
    <row r="82">
      <c r="A82" t="inlineStr">
        <is>
          <t>Review merchant data and perform account maintenance​</t>
        </is>
      </c>
      <c r="B82" t="inlineStr">
        <is>
          <t>Review merchant data and perform account maintenance​ - CCP</t>
        </is>
      </c>
      <c r="C82" t="inlineStr">
        <is>
          <t>CCP</t>
        </is>
      </c>
      <c r="D82" t="inlineStr">
        <is>
          <t>Operational</t>
        </is>
      </c>
    </row>
    <row r="83">
      <c r="A83" t="inlineStr">
        <is>
          <t>Reward Points Transfer</t>
        </is>
      </c>
      <c r="B83" t="inlineStr">
        <is>
          <t>Rewards Points Transfer - CCP</t>
        </is>
      </c>
      <c r="C83" t="inlineStr">
        <is>
          <t>CCP</t>
        </is>
      </c>
      <c r="D83" t="inlineStr">
        <is>
          <t>Operational</t>
        </is>
      </c>
    </row>
    <row r="84">
      <c r="A84" t="inlineStr">
        <is>
          <t>Reward Points Transfer</t>
        </is>
      </c>
      <c r="B84" t="inlineStr">
        <is>
          <t>Rewards Points Transfer - Mobile</t>
        </is>
      </c>
      <c r="C84" t="inlineStr">
        <is>
          <t>Mobile</t>
        </is>
      </c>
      <c r="D84" t="inlineStr">
        <is>
          <t>Operational</t>
        </is>
      </c>
    </row>
    <row r="85">
      <c r="A85" t="inlineStr">
        <is>
          <t>Reward Points Transfer</t>
        </is>
      </c>
      <c r="B85" t="inlineStr">
        <is>
          <t>Rewards Points Transfer - Web</t>
        </is>
      </c>
      <c r="C85" t="inlineStr">
        <is>
          <t>Web</t>
        </is>
      </c>
      <c r="D85" t="inlineStr">
        <is>
          <t>Operational</t>
        </is>
      </c>
    </row>
    <row r="86">
      <c r="A86" t="inlineStr">
        <is>
          <t>Search My Card (Corporate)</t>
        </is>
      </c>
      <c r="B86" t="inlineStr">
        <is>
          <t>Search My Card (Corporate) - Web</t>
        </is>
      </c>
      <c r="C86" t="inlineStr">
        <is>
          <t>Web</t>
        </is>
      </c>
      <c r="D86" t="inlineStr">
        <is>
          <t>Operational</t>
        </is>
      </c>
    </row>
    <row r="87">
      <c r="A87" t="inlineStr">
        <is>
          <t>Select And Redeem</t>
        </is>
      </c>
      <c r="B87" t="inlineStr">
        <is>
          <t>Select And Redeem - CCP</t>
        </is>
      </c>
      <c r="C87" t="inlineStr">
        <is>
          <t>CCP</t>
        </is>
      </c>
      <c r="D87" t="inlineStr">
        <is>
          <t>Operational</t>
        </is>
      </c>
    </row>
    <row r="88">
      <c r="A88" t="inlineStr">
        <is>
          <t>Select And Redeem</t>
        </is>
      </c>
      <c r="B88" t="inlineStr">
        <is>
          <t>Select And Redeem - Mobile</t>
        </is>
      </c>
      <c r="C88" t="inlineStr">
        <is>
          <t>Mobile</t>
        </is>
      </c>
      <c r="D88" t="inlineStr">
        <is>
          <t>Operational</t>
        </is>
      </c>
    </row>
    <row r="89">
      <c r="A89" t="inlineStr">
        <is>
          <t>Select And Redeem</t>
        </is>
      </c>
      <c r="B89" t="inlineStr">
        <is>
          <t>Select And Redeem - Web</t>
        </is>
      </c>
      <c r="C89" t="inlineStr">
        <is>
          <t>Web</t>
        </is>
      </c>
      <c r="D89" t="inlineStr">
        <is>
          <t>Operational</t>
        </is>
      </c>
    </row>
    <row r="90">
      <c r="A90" t="inlineStr">
        <is>
          <t>Self-Service</t>
        </is>
      </c>
      <c r="B90" t="inlineStr">
        <is>
          <t>Self-Service - Web</t>
        </is>
      </c>
      <c r="C90" t="inlineStr">
        <is>
          <t>Web</t>
        </is>
      </c>
      <c r="D90" t="inlineStr">
        <is>
          <t>Operational</t>
        </is>
      </c>
    </row>
    <row r="91">
      <c r="A91" t="inlineStr">
        <is>
          <t>Square</t>
        </is>
      </c>
      <c r="B91" t="inlineStr">
        <is>
          <t>Square - Web</t>
        </is>
      </c>
      <c r="C91" t="inlineStr">
        <is>
          <t>Web</t>
        </is>
      </c>
      <c r="D91" t="inlineStr">
        <is>
          <t>Operational</t>
        </is>
      </c>
    </row>
    <row r="92">
      <c r="A92" t="inlineStr">
        <is>
          <t>Statement</t>
        </is>
      </c>
      <c r="B92" t="inlineStr">
        <is>
          <t>Statement - CCP</t>
        </is>
      </c>
      <c r="C92" t="inlineStr">
        <is>
          <t>CCP</t>
        </is>
      </c>
      <c r="D92" t="inlineStr">
        <is>
          <t>Operational</t>
        </is>
      </c>
    </row>
    <row r="93">
      <c r="A93" t="inlineStr">
        <is>
          <t>Statement</t>
        </is>
      </c>
      <c r="B93" t="inlineStr">
        <is>
          <t>Statement - Mobile</t>
        </is>
      </c>
      <c r="C93" t="inlineStr">
        <is>
          <t>Mobile</t>
        </is>
      </c>
      <c r="D93" t="inlineStr">
        <is>
          <t>Operational</t>
        </is>
      </c>
    </row>
    <row r="94">
      <c r="A94" t="inlineStr">
        <is>
          <t>Statement</t>
        </is>
      </c>
      <c r="B94" t="inlineStr">
        <is>
          <t>Statement - Web</t>
        </is>
      </c>
      <c r="C94" t="inlineStr">
        <is>
          <t>Web</t>
        </is>
      </c>
      <c r="D94" t="inlineStr">
        <is>
          <t>Operational</t>
        </is>
      </c>
    </row>
    <row r="95">
      <c r="A95" t="inlineStr">
        <is>
          <t>Tax Status (Merchant)</t>
        </is>
      </c>
      <c r="B95" t="inlineStr">
        <is>
          <t>Tax Status (Merchant) - Batch</t>
        </is>
      </c>
      <c r="C95" t="inlineStr">
        <is>
          <t>Batch</t>
        </is>
      </c>
      <c r="D95" t="inlineStr">
        <is>
          <t>Operational</t>
        </is>
      </c>
    </row>
    <row r="96">
      <c r="A96" t="inlineStr">
        <is>
          <t>Track Balance</t>
        </is>
      </c>
      <c r="B96" t="inlineStr">
        <is>
          <t>Track Balance - CCP</t>
        </is>
      </c>
      <c r="C96" t="inlineStr">
        <is>
          <t>CCP</t>
        </is>
      </c>
      <c r="D96" t="inlineStr">
        <is>
          <t>Operational</t>
        </is>
      </c>
    </row>
    <row r="97">
      <c r="A97" t="inlineStr">
        <is>
          <t>Track Balance</t>
        </is>
      </c>
      <c r="B97" t="inlineStr">
        <is>
          <t>Track Balance - IVR</t>
        </is>
      </c>
      <c r="C97" t="inlineStr">
        <is>
          <t>IVR</t>
        </is>
      </c>
      <c r="D97" t="inlineStr">
        <is>
          <t>Operational</t>
        </is>
      </c>
    </row>
    <row r="98">
      <c r="A98" t="inlineStr">
        <is>
          <t>Track Balance</t>
        </is>
      </c>
      <c r="B98" t="inlineStr">
        <is>
          <t>Track Balance - Mobile</t>
        </is>
      </c>
      <c r="C98" t="inlineStr">
        <is>
          <t>Mobile</t>
        </is>
      </c>
      <c r="D98" t="inlineStr">
        <is>
          <t>Operational</t>
        </is>
      </c>
    </row>
    <row r="99">
      <c r="A99" t="inlineStr">
        <is>
          <t>Track Balance</t>
        </is>
      </c>
      <c r="B99" t="inlineStr">
        <is>
          <t>Track Balance - Web</t>
        </is>
      </c>
      <c r="C99" t="inlineStr">
        <is>
          <t>Web</t>
        </is>
      </c>
      <c r="D99" t="inlineStr">
        <is>
          <t>Operational</t>
        </is>
      </c>
    </row>
    <row r="100">
      <c r="A100" t="inlineStr">
        <is>
          <t>Track Status (Corporate)</t>
        </is>
      </c>
      <c r="B100" t="inlineStr">
        <is>
          <t>Track Status (Corporate) - Web</t>
        </is>
      </c>
      <c r="C100" t="inlineStr">
        <is>
          <t>Web</t>
        </is>
      </c>
      <c r="D100" t="inlineStr">
        <is>
          <t>Operational</t>
        </is>
      </c>
    </row>
    <row r="101">
      <c r="A101" t="inlineStr">
        <is>
          <t>Travel Agent</t>
        </is>
      </c>
      <c r="B101" t="inlineStr">
        <is>
          <t>Travel Agent - CCP</t>
        </is>
      </c>
      <c r="C101" t="inlineStr">
        <is>
          <t>CCP</t>
        </is>
      </c>
      <c r="D101" t="inlineStr">
        <is>
          <t>Operational</t>
        </is>
      </c>
    </row>
    <row r="102">
      <c r="A102" t="inlineStr">
        <is>
          <t>Travel Comms</t>
        </is>
      </c>
      <c r="B102" t="inlineStr">
        <is>
          <t>Travel Comms - Email</t>
        </is>
      </c>
      <c r="C102" t="inlineStr">
        <is>
          <t>Email</t>
        </is>
      </c>
      <c r="D102" t="inlineStr">
        <is>
          <t>Operational</t>
        </is>
      </c>
    </row>
    <row r="103">
      <c r="A103" t="inlineStr">
        <is>
          <t>Vacation  Rentals</t>
        </is>
      </c>
      <c r="B103" t="inlineStr">
        <is>
          <t>Vacation  Rentals - Web</t>
        </is>
      </c>
      <c r="C103" t="inlineStr">
        <is>
          <t>Web</t>
        </is>
      </c>
      <c r="D103" t="inlineStr">
        <is>
          <t>Operational</t>
        </is>
      </c>
    </row>
    <row r="104">
      <c r="A104" t="inlineStr">
        <is>
          <t>View Transactions</t>
        </is>
      </c>
      <c r="B104" t="inlineStr">
        <is>
          <t>View Transactions - Web</t>
        </is>
      </c>
      <c r="C104" t="inlineStr">
        <is>
          <t>Web</t>
        </is>
      </c>
      <c r="D104" t="inlineStr">
        <is>
          <t>Operational</t>
        </is>
      </c>
    </row>
    <row r="105">
      <c r="A105" t="inlineStr">
        <is>
          <t>View checking account dashboard</t>
        </is>
      </c>
      <c r="B105" t="inlineStr">
        <is>
          <t>View checking account dashboard - Web</t>
        </is>
      </c>
      <c r="C105" t="inlineStr">
        <is>
          <t>Web</t>
        </is>
      </c>
      <c r="D105" t="inlineStr">
        <is>
          <t>Operational</t>
        </is>
      </c>
    </row>
    <row r="106">
      <c r="A106" t="inlineStr">
        <is>
          <t>View checking transactions</t>
        </is>
      </c>
      <c r="B106" t="inlineStr">
        <is>
          <t>View checking transactions - Web</t>
        </is>
      </c>
      <c r="C106" t="inlineStr">
        <is>
          <t>Web</t>
        </is>
      </c>
      <c r="D106" t="inlineStr">
        <is>
          <t>Operational</t>
        </is>
      </c>
    </row>
    <row r="107">
      <c r="A107" t="inlineStr">
        <is>
          <t>review merchant data and perform account maintenance</t>
        </is>
      </c>
      <c r="B107" t="inlineStr">
        <is>
          <t>review merchant data and perform account maintenance - CCP</t>
        </is>
      </c>
      <c r="C107" t="inlineStr">
        <is>
          <t>CCP</t>
        </is>
      </c>
      <c r="D107" t="inlineStr">
        <is>
          <t>Operational</t>
        </is>
      </c>
    </row>
    <row r="108">
      <c r="A108" t="inlineStr">
        <is>
          <t>travel-opus</t>
        </is>
      </c>
      <c r="B108" t="inlineStr">
        <is>
          <t>travel-opus - Web</t>
        </is>
      </c>
      <c r="C108" t="inlineStr">
        <is>
          <t>Web</t>
        </is>
      </c>
      <c r="D108" t="inlineStr">
        <is>
          <t>Operational</t>
        </is>
      </c>
    </row>
    <row r="109">
      <c r="A109" t="inlineStr">
        <is>
          <t>vPayments</t>
        </is>
      </c>
      <c r="B109" t="inlineStr">
        <is>
          <t>vPayments - APIGEE</t>
        </is>
      </c>
      <c r="C109" t="inlineStr">
        <is>
          <t>APIGEE</t>
        </is>
      </c>
      <c r="D109" t="inlineStr">
        <is>
          <t>Operational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5" customWidth="1" min="4" max="4"/>
    <col width="45" customWidth="1" min="5" max="5"/>
    <col width="80" customWidth="1" min="6" max="6"/>
  </cols>
  <sheetData>
    <row r="1">
      <c r="A1" s="8" t="inlineStr">
        <is>
          <t>INC #</t>
        </is>
      </c>
      <c r="B1" s="8" t="inlineStr">
        <is>
          <t>Priority</t>
        </is>
      </c>
      <c r="C1" s="8" t="inlineStr">
        <is>
          <t>State</t>
        </is>
      </c>
      <c r="D1" s="8" t="inlineStr">
        <is>
          <t>Category</t>
        </is>
      </c>
      <c r="E1" s="8" t="inlineStr">
        <is>
          <t>CI</t>
        </is>
      </c>
      <c r="F1" s="8" t="inlineStr">
        <is>
          <t>Short Description</t>
        </is>
      </c>
    </row>
    <row r="2">
      <c r="A2" t="inlineStr">
        <is>
          <t>INC030322720</t>
        </is>
      </c>
      <c r="B2" t="inlineStr">
        <is>
          <t>P2</t>
        </is>
      </c>
      <c r="C2" t="inlineStr">
        <is>
          <t>2</t>
        </is>
      </c>
      <c r="E2" t="inlineStr">
        <is>
          <t>Intl Digital Existing Customer Application - E3-Production</t>
        </is>
      </c>
      <c r="F2" t="inlineStr">
        <is>
          <t>INVALID_GO2_RESPONSE</t>
        </is>
      </c>
    </row>
    <row r="3">
      <c r="A3" t="inlineStr">
        <is>
          <t>INC030345717</t>
        </is>
      </c>
      <c r="B3" t="inlineStr">
        <is>
          <t>P2</t>
        </is>
      </c>
      <c r="C3" t="inlineStr">
        <is>
          <t>6</t>
        </is>
      </c>
      <c r="D3" t="inlineStr">
        <is>
          <t>software</t>
        </is>
      </c>
      <c r="E3" t="inlineStr">
        <is>
          <t>Global Servicing Portal - E3-Production</t>
        </is>
      </c>
      <c r="F3" t="inlineStr">
        <is>
          <t>##Data Issues$$ GSP-Mexico-Account Search-CCP's are unable to locate accounts</t>
        </is>
      </c>
    </row>
    <row r="4">
      <c r="A4" t="inlineStr">
        <is>
          <t>INC030320047</t>
        </is>
      </c>
      <c r="B4" t="inlineStr">
        <is>
          <t>P2</t>
        </is>
      </c>
      <c r="C4" t="inlineStr">
        <is>
          <t>6</t>
        </is>
      </c>
      <c r="D4" t="inlineStr">
        <is>
          <t>software</t>
        </is>
      </c>
      <c r="E4" t="inlineStr">
        <is>
          <t>Issuance Replacements Service - E3-Production</t>
        </is>
      </c>
      <c r="F4" t="inlineStr">
        <is>
          <t>:siren5:IRS-CJ: Front-end function Failures in ReadReasonsForCardReplacement.v1 with Error: Error is blank | Examples: 08/19/2025 21:41:28 MST - `faab</t>
        </is>
      </c>
    </row>
    <row r="5">
      <c r="A5" t="inlineStr">
        <is>
          <t>INC030326287</t>
        </is>
      </c>
      <c r="B5" t="inlineStr">
        <is>
          <t>P1</t>
        </is>
      </c>
      <c r="C5" t="inlineStr">
        <is>
          <t>6</t>
        </is>
      </c>
      <c r="D5" t="inlineStr">
        <is>
          <t>software</t>
        </is>
      </c>
      <c r="E5" t="inlineStr">
        <is>
          <t>Intuitive Servicing Portal Ecosystem - E3-Production</t>
        </is>
      </c>
      <c r="F5" t="inlineStr">
        <is>
          <t>Account no loading for MNL CCP's</t>
        </is>
      </c>
    </row>
    <row r="6">
      <c r="A6" t="inlineStr">
        <is>
          <t>INC030319757</t>
        </is>
      </c>
      <c r="B6" t="inlineStr">
        <is>
          <t>P2</t>
        </is>
      </c>
      <c r="C6" t="inlineStr">
        <is>
          <t>6</t>
        </is>
      </c>
      <c r="D6" t="inlineStr">
        <is>
          <t>software</t>
        </is>
      </c>
      <c r="E6" t="inlineStr">
        <is>
          <t>Digital Merchant Experience User Management - E3-Production</t>
        </is>
      </c>
      <c r="F6" t="inlineStr">
        <is>
          <t>AWS service throwing 503 error</t>
        </is>
      </c>
    </row>
    <row r="7">
      <c r="A7" t="inlineStr">
        <is>
          <t>INC030309271</t>
        </is>
      </c>
      <c r="B7" t="inlineStr">
        <is>
          <t>P2</t>
        </is>
      </c>
      <c r="C7" t="inlineStr">
        <is>
          <t>6</t>
        </is>
      </c>
      <c r="D7" t="inlineStr">
        <is>
          <t>software</t>
        </is>
      </c>
      <c r="E7" t="inlineStr">
        <is>
          <t>Mobile Service Layer - E3-Production</t>
        </is>
      </c>
      <c r="F7" t="inlineStr">
        <is>
          <t>Card Replacement Failures</t>
        </is>
      </c>
    </row>
    <row r="8">
      <c r="A8" t="inlineStr">
        <is>
          <t>INC030294959</t>
        </is>
      </c>
      <c r="B8" t="inlineStr">
        <is>
          <t>P2</t>
        </is>
      </c>
      <c r="C8" t="inlineStr">
        <is>
          <t>6</t>
        </is>
      </c>
      <c r="D8" t="inlineStr">
        <is>
          <t>software</t>
        </is>
      </c>
      <c r="E8" t="inlineStr">
        <is>
          <t>Mobile Service Layer - E3-Production</t>
        </is>
      </c>
      <c r="F8" t="inlineStr">
        <is>
          <t>CreateLoyaltyBenefitEnrollmentStatus.v1 failures</t>
        </is>
      </c>
    </row>
    <row r="9">
      <c r="A9" t="inlineStr">
        <is>
          <t>INC030266719</t>
        </is>
      </c>
      <c r="B9" t="inlineStr">
        <is>
          <t>P2</t>
        </is>
      </c>
      <c r="C9" t="inlineStr">
        <is>
          <t>6</t>
        </is>
      </c>
      <c r="D9" t="inlineStr">
        <is>
          <t>database</t>
        </is>
      </c>
      <c r="E9" t="inlineStr">
        <is>
          <t>vPayment Next Generation - E3-Production</t>
        </is>
      </c>
      <c r="F9" t="inlineStr">
        <is>
          <t>CUSTOMER JOURNEY FAILURES &gt;5 IN LAST 10 MINS</t>
        </is>
      </c>
    </row>
    <row r="10">
      <c r="A10" t="inlineStr">
        <is>
          <t>INC030340795</t>
        </is>
      </c>
      <c r="B10" t="inlineStr">
        <is>
          <t>P2</t>
        </is>
      </c>
      <c r="C10" t="inlineStr">
        <is>
          <t>6</t>
        </is>
      </c>
      <c r="D10" t="inlineStr">
        <is>
          <t>software</t>
        </is>
      </c>
      <c r="E10" t="inlineStr">
        <is>
          <t>Mobile Service Layer - E3-Production</t>
        </is>
      </c>
      <c r="F10" t="inlineStr">
        <is>
          <t>Enroll Offers failures for UK</t>
        </is>
      </c>
    </row>
    <row r="11">
      <c r="A11" t="inlineStr">
        <is>
          <t>INC030306878</t>
        </is>
      </c>
      <c r="B11" t="inlineStr">
        <is>
          <t>P2</t>
        </is>
      </c>
      <c r="C11" t="inlineStr">
        <is>
          <t>6</t>
        </is>
      </c>
      <c r="D11" t="inlineStr">
        <is>
          <t>software</t>
        </is>
      </c>
      <c r="E11" t="inlineStr">
        <is>
          <t>Global Acquisition - New Accounts On-Boarding Process Orchestration - E3-Production</t>
        </is>
      </c>
      <c r="F11" t="inlineStr">
        <is>
          <t>GO2 AutoMIMReq Instant Decision Impact</t>
        </is>
      </c>
    </row>
    <row r="12">
      <c r="A12" t="inlineStr">
        <is>
          <t>INC030327607</t>
        </is>
      </c>
      <c r="B12" t="inlineStr">
        <is>
          <t>P2</t>
        </is>
      </c>
      <c r="C12" t="inlineStr">
        <is>
          <t>6</t>
        </is>
      </c>
      <c r="D12" t="inlineStr">
        <is>
          <t>software</t>
        </is>
      </c>
      <c r="E12" t="inlineStr">
        <is>
          <t>Global Acquisition - New Accounts On-Boarding Process Orchestration - E3-Production</t>
        </is>
      </c>
      <c r="F12" t="inlineStr">
        <is>
          <t>GO2 AutoMIMReq Instant Decision Impact - Dup Check Failures</t>
        </is>
      </c>
    </row>
    <row r="13">
      <c r="A13" t="inlineStr">
        <is>
          <t>INC030327067</t>
        </is>
      </c>
      <c r="B13" t="inlineStr">
        <is>
          <t>P2</t>
        </is>
      </c>
      <c r="C13" t="inlineStr">
        <is>
          <t>6</t>
        </is>
      </c>
      <c r="D13" t="inlineStr">
        <is>
          <t>software</t>
        </is>
      </c>
      <c r="E13" t="inlineStr">
        <is>
          <t>Global Acquisition - New Accounts On-Boarding Process Orchestration - E3-Production</t>
        </is>
      </c>
      <c r="F13" t="inlineStr">
        <is>
          <t>GO2 ROD failures Impact to Instant Decision</t>
        </is>
      </c>
    </row>
    <row r="14">
      <c r="A14" t="inlineStr">
        <is>
          <t>INC030326409</t>
        </is>
      </c>
      <c r="B14" t="inlineStr">
        <is>
          <t>P1</t>
        </is>
      </c>
      <c r="C14" t="inlineStr">
        <is>
          <t>2</t>
        </is>
      </c>
      <c r="E14" t="inlineStr">
        <is>
          <t>CT - Online - Portal - E3-Production</t>
        </is>
      </c>
      <c r="F14" t="inlineStr">
        <is>
          <t>INC7848285 - Expedia Group Incident Notification - Initial</t>
        </is>
      </c>
    </row>
    <row r="15">
      <c r="A15" t="inlineStr">
        <is>
          <t>INC030328058</t>
        </is>
      </c>
      <c r="B15" t="inlineStr">
        <is>
          <t>P2</t>
        </is>
      </c>
      <c r="C15" t="inlineStr">
        <is>
          <t>6</t>
        </is>
      </c>
      <c r="D15" t="inlineStr">
        <is>
          <t>access</t>
        </is>
      </c>
      <c r="E15" t="inlineStr">
        <is>
          <t>Service Desk - E3-Production</t>
        </is>
      </c>
      <c r="F15" t="inlineStr">
        <is>
          <t>ISP-CCPs in CAN CEN &amp; DEL are getting an error message when attempting to impersonate merchant account on Digital Merchant Assistance Portal</t>
        </is>
      </c>
    </row>
    <row r="16">
      <c r="A16" t="inlineStr">
        <is>
          <t>INC030324586</t>
        </is>
      </c>
      <c r="B16" t="inlineStr">
        <is>
          <t>P2</t>
        </is>
      </c>
      <c r="C16" t="inlineStr">
        <is>
          <t>6</t>
        </is>
      </c>
      <c r="D16" t="inlineStr">
        <is>
          <t>cloud management</t>
        </is>
      </c>
      <c r="E16" t="inlineStr">
        <is>
          <t>Mobile Service Layer - E3-Production</t>
        </is>
      </c>
      <c r="F16" t="inlineStr">
        <is>
          <t>Loungefinder Failures</t>
        </is>
      </c>
    </row>
    <row r="17">
      <c r="A17" t="inlineStr">
        <is>
          <t>INC030330368</t>
        </is>
      </c>
      <c r="B17" t="inlineStr">
        <is>
          <t>P2</t>
        </is>
      </c>
      <c r="C17" t="inlineStr">
        <is>
          <t>6</t>
        </is>
      </c>
      <c r="D17" t="inlineStr">
        <is>
          <t>problem resolved</t>
        </is>
      </c>
      <c r="E17" t="inlineStr">
        <is>
          <t>Mobile Service Layer - E3-Production</t>
        </is>
      </c>
      <c r="F17" t="inlineStr">
        <is>
          <t>Loungefinder Failures</t>
        </is>
      </c>
    </row>
    <row r="18">
      <c r="A18" t="inlineStr">
        <is>
          <t>INC030316604</t>
        </is>
      </c>
      <c r="B18" t="inlineStr">
        <is>
          <t>P2</t>
        </is>
      </c>
      <c r="C18" t="inlineStr">
        <is>
          <t>6</t>
        </is>
      </c>
      <c r="D18" t="inlineStr">
        <is>
          <t>software</t>
        </is>
      </c>
      <c r="E18" t="inlineStr">
        <is>
          <t>L&amp;B Web - Loyalty Redemptions - E3-Production</t>
        </is>
      </c>
      <c r="F18" t="inlineStr">
        <is>
          <t>MR functionfailures</t>
        </is>
      </c>
    </row>
    <row r="19">
      <c r="A19" t="inlineStr">
        <is>
          <t>INC030328271</t>
        </is>
      </c>
      <c r="B19" t="inlineStr">
        <is>
          <t>P2</t>
        </is>
      </c>
      <c r="C19" t="inlineStr">
        <is>
          <t>6</t>
        </is>
      </c>
      <c r="D19" t="inlineStr">
        <is>
          <t>software</t>
        </is>
      </c>
      <c r="E19" t="inlineStr">
        <is>
          <t>L&amp;B Web - Loyalty Redemptions - E3-Production</t>
        </is>
      </c>
      <c r="F19" t="inlineStr">
        <is>
          <t>multiple loyalty failures</t>
        </is>
      </c>
    </row>
    <row r="20">
      <c r="A20" t="inlineStr">
        <is>
          <t>INC030213546</t>
        </is>
      </c>
      <c r="B20" t="inlineStr">
        <is>
          <t>P2</t>
        </is>
      </c>
      <c r="C20" t="inlineStr">
        <is>
          <t>2</t>
        </is>
      </c>
      <c r="E20" t="inlineStr">
        <is>
          <t>Mobile Service Layer - E3-Production</t>
        </is>
      </c>
      <c r="F20" t="inlineStr">
        <is>
          <t>mx payments failures</t>
        </is>
      </c>
    </row>
    <row r="21">
      <c r="A21" t="inlineStr">
        <is>
          <t>INC030213740</t>
        </is>
      </c>
      <c r="B21" t="inlineStr">
        <is>
          <t>P2</t>
        </is>
      </c>
      <c r="C21" t="inlineStr">
        <is>
          <t>6</t>
        </is>
      </c>
      <c r="D21" t="inlineStr">
        <is>
          <t>software</t>
        </is>
      </c>
      <c r="E21" t="inlineStr">
        <is>
          <t>One AP - E3-Production</t>
        </is>
      </c>
      <c r="F21" t="inlineStr">
        <is>
          <t>NOT_DEFINED fix</t>
        </is>
      </c>
    </row>
    <row r="22">
      <c r="A22" t="inlineStr">
        <is>
          <t>INC030187005</t>
        </is>
      </c>
      <c r="B22" t="inlineStr">
        <is>
          <t>P2</t>
        </is>
      </c>
      <c r="C22" t="inlineStr">
        <is>
          <t>6</t>
        </is>
      </c>
      <c r="D22" t="inlineStr">
        <is>
          <t>software</t>
        </is>
      </c>
      <c r="E22" t="inlineStr">
        <is>
          <t>Manage Your Customer Account (MYCA) - E3-Production</t>
        </is>
      </c>
      <c r="F22" t="inlineStr">
        <is>
          <t>Observing intermittent failures for ReadLoyaltyCatalogForLoyaltyCredit.v1</t>
        </is>
      </c>
    </row>
    <row r="23">
      <c r="A23" t="inlineStr">
        <is>
          <t>INC030340995</t>
        </is>
      </c>
      <c r="B23" t="inlineStr">
        <is>
          <t>P2</t>
        </is>
      </c>
      <c r="C23" t="inlineStr">
        <is>
          <t>6</t>
        </is>
      </c>
      <c r="D23" t="inlineStr">
        <is>
          <t>cloud management</t>
        </is>
      </c>
      <c r="E23" t="inlineStr">
        <is>
          <t>Enterprise Wallet - E3-Production</t>
        </is>
      </c>
      <c r="F23" t="inlineStr">
        <is>
          <t>Observing the failures for Tokenpar from IPC1.</t>
        </is>
      </c>
    </row>
    <row r="24">
      <c r="A24" t="inlineStr">
        <is>
          <t>INC030322531</t>
        </is>
      </c>
      <c r="B24" t="inlineStr">
        <is>
          <t>P1</t>
        </is>
      </c>
      <c r="C24" t="inlineStr">
        <is>
          <t>2</t>
        </is>
      </c>
      <c r="E24" t="inlineStr">
        <is>
          <t>Mobile Service Layer - E3-Production</t>
        </is>
      </c>
      <c r="F24" t="inlineStr">
        <is>
          <t>Personal Checking Accounts - Rewards failures</t>
        </is>
      </c>
    </row>
    <row r="25">
      <c r="A25" t="inlineStr">
        <is>
          <t>INC030244513</t>
        </is>
      </c>
      <c r="B25" t="inlineStr">
        <is>
          <t>P2</t>
        </is>
      </c>
      <c r="C25" t="inlineStr">
        <is>
          <t>6</t>
        </is>
      </c>
      <c r="D25" t="inlineStr">
        <is>
          <t>hardware</t>
        </is>
      </c>
      <c r="E25" t="inlineStr">
        <is>
          <t>TYO-WG-18E-P06C</t>
        </is>
      </c>
      <c r="F25" t="inlineStr">
        <is>
          <t>Printer - All Japan Printers Down in network authentication</t>
        </is>
      </c>
    </row>
    <row r="26">
      <c r="A26" t="inlineStr">
        <is>
          <t>INC030330474</t>
        </is>
      </c>
      <c r="B26" t="inlineStr">
        <is>
          <t>P2</t>
        </is>
      </c>
      <c r="C26" t="inlineStr">
        <is>
          <t>6</t>
        </is>
      </c>
      <c r="D26" t="inlineStr">
        <is>
          <t>network</t>
        </is>
      </c>
      <c r="E26" t="inlineStr">
        <is>
          <t>Mobile Service Layer - E3-Production</t>
        </is>
      </c>
      <c r="F26" t="inlineStr">
        <is>
          <t>PWBT Failures</t>
        </is>
      </c>
    </row>
    <row r="27">
      <c r="A27" t="inlineStr">
        <is>
          <t>INC030338313</t>
        </is>
      </c>
      <c r="B27" t="inlineStr">
        <is>
          <t>P2</t>
        </is>
      </c>
      <c r="C27" t="inlineStr">
        <is>
          <t>6</t>
        </is>
      </c>
      <c r="D27" t="inlineStr">
        <is>
          <t>software</t>
        </is>
      </c>
      <c r="E27" t="inlineStr">
        <is>
          <t>global-instant-membership|gim-microsvc</t>
        </is>
      </c>
      <c r="F27" t="inlineStr">
        <is>
          <t>Raven Document Generation Failures stage STORAGE_DO</t>
        </is>
      </c>
    </row>
    <row r="28">
      <c r="A28" t="inlineStr">
        <is>
          <t>INC030350754</t>
        </is>
      </c>
      <c r="B28" t="inlineStr">
        <is>
          <t>P2</t>
        </is>
      </c>
      <c r="C28" t="inlineStr">
        <is>
          <t>6</t>
        </is>
      </c>
      <c r="D28" t="inlineStr">
        <is>
          <t>software</t>
        </is>
      </c>
      <c r="E28" t="inlineStr">
        <is>
          <t>Manage Your Customer Account (MYCA) - E3-Production</t>
        </is>
      </c>
      <c r="F28" t="inlineStr">
        <is>
          <t>ReadCheckingAccountPostedTransactions.v2  failure</t>
        </is>
      </c>
    </row>
    <row r="29">
      <c r="A29" t="inlineStr">
        <is>
          <t>INC030333976</t>
        </is>
      </c>
      <c r="B29" t="inlineStr">
        <is>
          <t>P2</t>
        </is>
      </c>
      <c r="C29" t="inlineStr">
        <is>
          <t>6</t>
        </is>
      </c>
      <c r="D29" t="inlineStr">
        <is>
          <t>cloud management</t>
        </is>
      </c>
      <c r="E29" t="inlineStr">
        <is>
          <t>Mobile Service Layer - E3-Production</t>
        </is>
      </c>
      <c r="F29" t="inlineStr">
        <is>
          <t>ReadEligibilityForCardReplacement.v1 timeouts</t>
        </is>
      </c>
    </row>
    <row r="30">
      <c r="A30" t="inlineStr">
        <is>
          <t>INC030310242</t>
        </is>
      </c>
      <c r="B30" t="inlineStr">
        <is>
          <t>P2</t>
        </is>
      </c>
      <c r="C30" t="inlineStr">
        <is>
          <t>6</t>
        </is>
      </c>
      <c r="D30" t="inlineStr">
        <is>
          <t>software</t>
        </is>
      </c>
      <c r="E30" t="inlineStr">
        <is>
          <t>TPFPTPFA</t>
        </is>
      </c>
      <c r="F30" t="inlineStr">
        <is>
          <t>REAL TIME CAPTURE 20MINS BEHIND.</t>
        </is>
      </c>
    </row>
    <row r="31">
      <c r="A31" t="inlineStr">
        <is>
          <t>INC030303804</t>
        </is>
      </c>
      <c r="B31" t="inlineStr">
        <is>
          <t>P2</t>
        </is>
      </c>
      <c r="C31" t="inlineStr">
        <is>
          <t>6</t>
        </is>
      </c>
      <c r="D31" t="inlineStr">
        <is>
          <t>software</t>
        </is>
      </c>
      <c r="E31" t="inlineStr">
        <is>
          <t>Global Acquisition - New Accounts On-Boarding Process Orchestration - E3-Production</t>
        </is>
      </c>
      <c r="F31" t="inlineStr">
        <is>
          <t>ROD failures</t>
        </is>
      </c>
    </row>
    <row r="32">
      <c r="A32" t="inlineStr">
        <is>
          <t>INC030349480</t>
        </is>
      </c>
      <c r="B32" t="inlineStr">
        <is>
          <t>P2</t>
        </is>
      </c>
      <c r="C32" t="inlineStr">
        <is>
          <t>6</t>
        </is>
      </c>
      <c r="D32" t="inlineStr">
        <is>
          <t>software</t>
        </is>
      </c>
      <c r="E32" t="inlineStr">
        <is>
          <t>Global Acquisition - New Accounts On-Boarding Process Orchestration - E3-Production</t>
        </is>
      </c>
      <c r="F32" t="inlineStr">
        <is>
          <t>ROD failures</t>
        </is>
      </c>
    </row>
    <row r="33">
      <c r="A33" t="inlineStr">
        <is>
          <t>INC030340044</t>
        </is>
      </c>
      <c r="B33" t="inlineStr">
        <is>
          <t>P2</t>
        </is>
      </c>
      <c r="C33" t="inlineStr">
        <is>
          <t>6</t>
        </is>
      </c>
      <c r="D33" t="inlineStr">
        <is>
          <t>software</t>
        </is>
      </c>
      <c r="E33" t="inlineStr">
        <is>
          <t>Global Acquisition - New Accounts On-Boarding Process Orchestration - E3-Production</t>
        </is>
      </c>
      <c r="F33" t="inlineStr">
        <is>
          <t>ROD failures for AUD</t>
        </is>
      </c>
    </row>
    <row r="34">
      <c r="A34" t="inlineStr">
        <is>
          <t>INC030296415</t>
        </is>
      </c>
      <c r="B34" t="inlineStr">
        <is>
          <t>P2</t>
        </is>
      </c>
      <c r="C34" t="inlineStr">
        <is>
          <t>6</t>
        </is>
      </c>
      <c r="D34" t="inlineStr">
        <is>
          <t>software</t>
        </is>
      </c>
      <c r="E34" t="inlineStr">
        <is>
          <t>Manage Your Customer Account (MYCA) - E3-Production</t>
        </is>
      </c>
      <c r="F34" t="inlineStr">
        <is>
          <t>Seelect ad redeem failures</t>
        </is>
      </c>
    </row>
    <row r="35">
      <c r="A35" t="inlineStr">
        <is>
          <t>INC030325822</t>
        </is>
      </c>
      <c r="B35" t="inlineStr">
        <is>
          <t>P2</t>
        </is>
      </c>
      <c r="C35" t="inlineStr">
        <is>
          <t>2</t>
        </is>
      </c>
      <c r="D35" t="inlineStr">
        <is>
          <t>cloud management</t>
        </is>
      </c>
      <c r="E35" t="inlineStr">
        <is>
          <t>Spend IQ Analytics - E3-Production</t>
        </is>
      </c>
      <c r="F35" t="inlineStr">
        <is>
          <t>Spend IQ API is unable to receive requests, and is logging connection errors</t>
        </is>
      </c>
    </row>
    <row r="36">
      <c r="A36" t="inlineStr">
        <is>
          <t>INC030352324</t>
        </is>
      </c>
      <c r="B36" t="inlineStr">
        <is>
          <t>P2</t>
        </is>
      </c>
      <c r="C36" t="inlineStr">
        <is>
          <t>1</t>
        </is>
      </c>
      <c r="D36" t="inlineStr">
        <is>
          <t>software</t>
        </is>
      </c>
      <c r="E36" t="inlineStr">
        <is>
          <t>Mobile Service Layer - E3-Production</t>
        </is>
      </c>
      <c r="F36" t="inlineStr">
        <is>
          <t>Spike in failures for  /giftcards/v1/catalog &amp; /giftcards/v1/terms/{brandId}</t>
        </is>
      </c>
    </row>
    <row r="37">
      <c r="A37" t="inlineStr">
        <is>
          <t>INC030320942</t>
        </is>
      </c>
      <c r="B37" t="inlineStr">
        <is>
          <t>P2</t>
        </is>
      </c>
      <c r="C37" t="inlineStr">
        <is>
          <t>6</t>
        </is>
      </c>
      <c r="D37" t="inlineStr">
        <is>
          <t>software</t>
        </is>
      </c>
      <c r="E37" t="inlineStr">
        <is>
          <t>Workspace (Workspace Desktop Edition)</t>
        </is>
      </c>
      <c r="F37" t="inlineStr">
        <is>
          <t>TCCB-TCP: CCP: remote:  WDE calls not working for outbound calls, customers are not able to hear us</t>
        </is>
      </c>
    </row>
    <row r="38">
      <c r="A38" t="inlineStr">
        <is>
          <t>INC030308570</t>
        </is>
      </c>
      <c r="B38" t="inlineStr">
        <is>
          <t>P2</t>
        </is>
      </c>
      <c r="C38" t="inlineStr">
        <is>
          <t>2</t>
        </is>
      </c>
      <c r="D38" t="inlineStr">
        <is>
          <t>software</t>
        </is>
      </c>
      <c r="E38" t="inlineStr">
        <is>
          <t>CREDIT SERVICING PLATFORM - E3-Production</t>
        </is>
      </c>
      <c r="F38" t="inlineStr">
        <is>
          <t>TCCB-TCP: CCP: remote: ptp window not loading in csp</t>
        </is>
      </c>
    </row>
    <row r="39">
      <c r="A39" t="inlineStr">
        <is>
          <t>INC030292591</t>
        </is>
      </c>
      <c r="B39" t="inlineStr">
        <is>
          <t>P2</t>
        </is>
      </c>
      <c r="C39" t="inlineStr">
        <is>
          <t>6</t>
        </is>
      </c>
      <c r="D39" t="inlineStr">
        <is>
          <t>software</t>
        </is>
      </c>
      <c r="E39" t="inlineStr">
        <is>
          <t>Workspace (Workspace Desktop Edition)</t>
        </is>
      </c>
      <c r="F39" t="inlineStr">
        <is>
          <t>TCCB-TCP: CCP: remote: UK ASG is facing low OB volume and agents are sitting on idle as they don't have cases to work on</t>
        </is>
      </c>
    </row>
    <row r="40">
      <c r="A40" t="inlineStr">
        <is>
          <t>INC030306077</t>
        </is>
      </c>
      <c r="B40" t="inlineStr">
        <is>
          <t>P2</t>
        </is>
      </c>
      <c r="C40" t="inlineStr">
        <is>
          <t>6</t>
        </is>
      </c>
      <c r="D40" t="inlineStr">
        <is>
          <t>software</t>
        </is>
      </c>
      <c r="E40" t="inlineStr">
        <is>
          <t>Workspace (Workspace Desktop Edition)</t>
        </is>
      </c>
      <c r="F40" t="inlineStr">
        <is>
          <t>TCCB-TCP: Classic: Argentina OB dialing issue</t>
        </is>
      </c>
    </row>
    <row r="41">
      <c r="A41" t="inlineStr">
        <is>
          <t>INC030353073</t>
        </is>
      </c>
      <c r="B41" t="inlineStr">
        <is>
          <t>P4</t>
        </is>
      </c>
      <c r="C41" t="inlineStr">
        <is>
          <t>2</t>
        </is>
      </c>
      <c r="E41" t="inlineStr">
        <is>
          <t>Automation CI for Sanity Check</t>
        </is>
      </c>
      <c r="F41" t="inlineStr">
        <is>
          <t>test</t>
        </is>
      </c>
    </row>
    <row r="42">
      <c r="A42" t="inlineStr">
        <is>
          <t>INC030309414</t>
        </is>
      </c>
      <c r="B42" t="inlineStr">
        <is>
          <t>P2</t>
        </is>
      </c>
      <c r="C42" t="inlineStr">
        <is>
          <t>6</t>
        </is>
      </c>
      <c r="D42" t="inlineStr">
        <is>
          <t>database</t>
        </is>
      </c>
      <c r="E42" t="inlineStr">
        <is>
          <t>vPayment Next Generation - E3-Production</t>
        </is>
      </c>
      <c r="F42" t="inlineStr">
        <is>
          <t xml:space="preserve">The alert condition for 'Failure Alert - Interfacing system: ETV (Condition: &gt;= 12 failures in &lt;15 mins&gt; window – Sev 2)' was triggered.  END POINT : </t>
        </is>
      </c>
    </row>
    <row r="43">
      <c r="A43" t="inlineStr">
        <is>
          <t>INC030317307</t>
        </is>
      </c>
      <c r="B43" t="inlineStr">
        <is>
          <t>P2</t>
        </is>
      </c>
      <c r="C43" t="inlineStr">
        <is>
          <t>6</t>
        </is>
      </c>
      <c r="D43" t="inlineStr">
        <is>
          <t>software</t>
        </is>
      </c>
      <c r="E43" t="inlineStr">
        <is>
          <t>Global Acquisition - New Accounts On-Boarding Process Orchestration - E3-Production</t>
        </is>
      </c>
      <c r="F43" t="inlineStr">
        <is>
          <t>TPDG Pod failure - tpdg-credit-inq-bg-a-deployment-74fdccb468-jk6c8 - 8/19/25</t>
        </is>
      </c>
    </row>
    <row r="44">
      <c r="A44" t="inlineStr">
        <is>
          <t>INC030321577</t>
        </is>
      </c>
      <c r="B44" t="inlineStr">
        <is>
          <t>P2</t>
        </is>
      </c>
      <c r="C44" t="inlineStr">
        <is>
          <t>6</t>
        </is>
      </c>
      <c r="D44" t="inlineStr">
        <is>
          <t>software</t>
        </is>
      </c>
      <c r="E44" t="inlineStr">
        <is>
          <t>Global Servicing Portal - E3-Production</t>
        </is>
      </c>
      <c r="F44" t="inlineStr">
        <is>
          <t>UCID fails even though customers have passed security</t>
        </is>
      </c>
    </row>
    <row r="45">
      <c r="A45" t="inlineStr">
        <is>
          <t>INC030312261</t>
        </is>
      </c>
      <c r="B45" t="inlineStr">
        <is>
          <t>P2</t>
        </is>
      </c>
      <c r="C45" t="inlineStr">
        <is>
          <t>6</t>
        </is>
      </c>
      <c r="D45" t="inlineStr">
        <is>
          <t>software</t>
        </is>
      </c>
      <c r="E45" t="inlineStr">
        <is>
          <t>Intl Digital Existing Customer Application - E3-Production</t>
        </is>
      </c>
      <c r="F45" t="inlineStr">
        <is>
          <t>uk-affiliate-ewp-prospect-journey | Exception while getting the token details AFFILIATE_PREFILL_SERVICE_FAILED</t>
        </is>
      </c>
    </row>
    <row r="46">
      <c r="A46" t="inlineStr">
        <is>
          <t>INC030330712</t>
        </is>
      </c>
      <c r="B46" t="inlineStr">
        <is>
          <t>P1</t>
        </is>
      </c>
      <c r="C46" t="inlineStr">
        <is>
          <t>6</t>
        </is>
      </c>
      <c r="D46" t="inlineStr">
        <is>
          <t>database</t>
        </is>
      </c>
      <c r="E46" t="inlineStr">
        <is>
          <t>Intuitive Servicing Portal Ecosystem - E3-Production</t>
        </is>
      </c>
      <c r="F46" t="inlineStr">
        <is>
          <t>Unable to launch</t>
        </is>
      </c>
    </row>
    <row r="47">
      <c r="A47" t="inlineStr">
        <is>
          <t>INC030302415</t>
        </is>
      </c>
      <c r="B47" t="inlineStr">
        <is>
          <t>P2</t>
        </is>
      </c>
      <c r="C47" t="inlineStr">
        <is>
          <t>6</t>
        </is>
      </c>
      <c r="D47" t="inlineStr">
        <is>
          <t>software</t>
        </is>
      </c>
      <c r="E47" t="inlineStr">
        <is>
          <t>WDE Application Suite</t>
        </is>
      </c>
      <c r="F47" t="inlineStr">
        <is>
          <t>WDE issue - Multiple sites reporting they are unable to access the corporate favorites on WDE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45" customWidth="1" min="5" max="5"/>
    <col width="80" customWidth="1" min="6" max="6"/>
  </cols>
  <sheetData>
    <row r="1">
      <c r="A1" s="8" t="inlineStr">
        <is>
          <t>PRB #</t>
        </is>
      </c>
      <c r="B1" s="8" t="inlineStr">
        <is>
          <t>Priority</t>
        </is>
      </c>
      <c r="C1" s="8" t="inlineStr">
        <is>
          <t>State</t>
        </is>
      </c>
      <c r="D1" s="8" t="inlineStr">
        <is>
          <t>Category</t>
        </is>
      </c>
      <c r="E1" s="8" t="inlineStr">
        <is>
          <t>CI</t>
        </is>
      </c>
      <c r="F1" s="8" t="inlineStr">
        <is>
          <t>Short Description</t>
        </is>
      </c>
    </row>
    <row r="2">
      <c r="A2" t="inlineStr">
        <is>
          <t>PRB0085950</t>
        </is>
      </c>
      <c r="B2" t="inlineStr">
        <is>
          <t>P1</t>
        </is>
      </c>
      <c r="C2" t="inlineStr">
        <is>
          <t>New</t>
        </is>
      </c>
      <c r="E2" t="inlineStr">
        <is>
          <t>Automation CI for Sanity Check</t>
        </is>
      </c>
      <c r="F2" t="inlineStr">
        <is>
          <t>Test Ra</t>
        </is>
      </c>
    </row>
    <row r="3">
      <c r="A3" t="inlineStr">
        <is>
          <t>PRB0085929</t>
        </is>
      </c>
      <c r="B3" t="inlineStr">
        <is>
          <t>P2</t>
        </is>
      </c>
      <c r="C3" t="inlineStr">
        <is>
          <t>New</t>
        </is>
      </c>
      <c r="E3" t="inlineStr">
        <is>
          <t>Mobile Service Layer - E3-Production</t>
        </is>
      </c>
      <c r="F3" t="inlineStr">
        <is>
          <t>Major Impact Service Disruption - Spike in failures for  /giftcards/v1/catalog &amp; /giftcards/v1/terms/{brandId}</t>
        </is>
      </c>
    </row>
    <row r="4">
      <c r="A4" t="inlineStr">
        <is>
          <t>PRB0085928</t>
        </is>
      </c>
      <c r="B4" t="inlineStr">
        <is>
          <t>P2</t>
        </is>
      </c>
      <c r="C4" t="inlineStr">
        <is>
          <t>New</t>
        </is>
      </c>
      <c r="E4" t="inlineStr">
        <is>
          <t>Manage Your Customer Account (MYCA) - E3-Production</t>
        </is>
      </c>
      <c r="F4" t="inlineStr">
        <is>
          <t>Major Impact Service Disruption - ReadCheckingAccountPostedTransactions.v2  failure</t>
        </is>
      </c>
    </row>
    <row r="5">
      <c r="A5" t="inlineStr">
        <is>
          <t>PRB0085926</t>
        </is>
      </c>
      <c r="B5" t="inlineStr">
        <is>
          <t>P2</t>
        </is>
      </c>
      <c r="C5" t="inlineStr">
        <is>
          <t>New</t>
        </is>
      </c>
      <c r="E5" t="inlineStr">
        <is>
          <t>Global Acquisition - New Accounts On-Boarding Process Orchestration - E3-Production</t>
        </is>
      </c>
      <c r="F5" t="inlineStr">
        <is>
          <t>Major Impact Service Disruption - ROD failures</t>
        </is>
      </c>
    </row>
    <row r="6">
      <c r="A6" t="inlineStr">
        <is>
          <t>PRB0085921</t>
        </is>
      </c>
      <c r="B6" t="inlineStr">
        <is>
          <t>P2</t>
        </is>
      </c>
      <c r="C6" t="inlineStr">
        <is>
          <t>New</t>
        </is>
      </c>
      <c r="E6" t="inlineStr">
        <is>
          <t>Basel RWA-C - E3-Production</t>
        </is>
      </c>
      <c r="F6" t="inlineStr">
        <is>
          <t>2052a: Slowness observed in FGT Airflow</t>
        </is>
      </c>
    </row>
    <row r="7">
      <c r="A7" t="inlineStr">
        <is>
          <t>PRB0085919</t>
        </is>
      </c>
      <c r="B7" t="inlineStr">
        <is>
          <t>P2</t>
        </is>
      </c>
      <c r="C7" t="inlineStr">
        <is>
          <t>New</t>
        </is>
      </c>
      <c r="E7" t="inlineStr">
        <is>
          <t>Enterprise Wallet - E3-Production</t>
        </is>
      </c>
      <c r="F7" t="inlineStr">
        <is>
          <t>Major Impact Service Disruption - Observing the failures for Tokenpar from IPC1.</t>
        </is>
      </c>
    </row>
    <row r="8">
      <c r="A8" t="inlineStr">
        <is>
          <t>PRB0085914</t>
        </is>
      </c>
      <c r="B8" t="inlineStr">
        <is>
          <t>P2</t>
        </is>
      </c>
      <c r="C8" t="inlineStr">
        <is>
          <t>Assessed</t>
        </is>
      </c>
      <c r="E8" t="inlineStr">
        <is>
          <t>Mobile Service Layer - E3-Production</t>
        </is>
      </c>
      <c r="F8" t="inlineStr">
        <is>
          <t>Major Impact Service Disruption - Enroll Offers failures for UK</t>
        </is>
      </c>
    </row>
    <row r="9">
      <c r="A9" t="inlineStr">
        <is>
          <t>PRB0085913</t>
        </is>
      </c>
      <c r="B9" t="inlineStr">
        <is>
          <t>P2</t>
        </is>
      </c>
      <c r="C9" t="inlineStr">
        <is>
          <t>New</t>
        </is>
      </c>
      <c r="E9" t="inlineStr">
        <is>
          <t>Global Acquisition - New Accounts On-Boarding Process Orchestration - E3-Production</t>
        </is>
      </c>
      <c r="F9" t="inlineStr">
        <is>
          <t>Major Impact Service Disruption - ROD failures for AUD</t>
        </is>
      </c>
    </row>
    <row r="10">
      <c r="A10" t="inlineStr">
        <is>
          <t>PRB0085911</t>
        </is>
      </c>
      <c r="B10" t="inlineStr">
        <is>
          <t>P2</t>
        </is>
      </c>
      <c r="C10" t="inlineStr">
        <is>
          <t>New</t>
        </is>
      </c>
      <c r="E10" t="inlineStr">
        <is>
          <t>Authorization</t>
        </is>
      </c>
      <c r="F10" t="inlineStr">
        <is>
          <t>Major Impact Service Disruption - 2025-08-21 10:11:45 Link Name: CBA_EDC_SYD_AS28 Port: 28606 Node: pvsplnmopx001.sin.aexp.com . Ticket crea</t>
        </is>
      </c>
    </row>
    <row r="11">
      <c r="A11" t="inlineStr">
        <is>
          <t>PRB0085910</t>
        </is>
      </c>
      <c r="B11" t="inlineStr">
        <is>
          <t>P2</t>
        </is>
      </c>
      <c r="C11" t="inlineStr">
        <is>
          <t>Assessed</t>
        </is>
      </c>
      <c r="E11" t="inlineStr">
        <is>
          <t>global-instant-membership|gim-microsvc</t>
        </is>
      </c>
      <c r="F11" t="inlineStr">
        <is>
          <t>Major Impact Service Disruption - Raven Document Generation Failures stage STORAGE_DO</t>
        </is>
      </c>
    </row>
    <row r="12">
      <c r="A12" t="inlineStr">
        <is>
          <t>PRB0085906</t>
        </is>
      </c>
      <c r="B12" t="inlineStr">
        <is>
          <t>P2</t>
        </is>
      </c>
      <c r="C12" t="inlineStr">
        <is>
          <t>New</t>
        </is>
      </c>
      <c r="E12" t="inlineStr">
        <is>
          <t>One AP - E3-Production</t>
        </is>
      </c>
      <c r="F12" t="inlineStr">
        <is>
          <t>Major Impact Service Disruption - NOT_DEFINED fix</t>
        </is>
      </c>
    </row>
    <row r="13">
      <c r="A13" t="inlineStr">
        <is>
          <t>PRB0085904</t>
        </is>
      </c>
      <c r="B13" t="inlineStr">
        <is>
          <t>P2</t>
        </is>
      </c>
      <c r="C13" t="inlineStr">
        <is>
          <t>Assessed</t>
        </is>
      </c>
      <c r="E13" t="inlineStr">
        <is>
          <t>Mobile Service Layer - E3-Production</t>
        </is>
      </c>
      <c r="F13" t="inlineStr">
        <is>
          <t>Major Impact Service Disruption - ReadEligibilityForCardReplacement.v1 timeouts</t>
        </is>
      </c>
    </row>
    <row r="14">
      <c r="A14" t="inlineStr">
        <is>
          <t>PRB0085900</t>
        </is>
      </c>
      <c r="B14" t="inlineStr">
        <is>
          <t>P1</t>
        </is>
      </c>
      <c r="C14" t="inlineStr">
        <is>
          <t>New</t>
        </is>
      </c>
      <c r="E14" t="inlineStr">
        <is>
          <t>Intuitive Servicing Portal Ecosystem - E3-Production</t>
        </is>
      </c>
      <c r="F14" t="inlineStr">
        <is>
          <t>Major Impact Service Disruption - Unable to launch</t>
        </is>
      </c>
    </row>
    <row r="15">
      <c r="A15" t="inlineStr">
        <is>
          <t>PRB0085899</t>
        </is>
      </c>
      <c r="B15" t="inlineStr">
        <is>
          <t>P2</t>
        </is>
      </c>
      <c r="C15" t="inlineStr">
        <is>
          <t>Assessed</t>
        </is>
      </c>
      <c r="E15" t="inlineStr">
        <is>
          <t>Mobile Service Layer - E3-Production</t>
        </is>
      </c>
      <c r="F15" t="inlineStr">
        <is>
          <t>Major Impact Service Disruption - PWBT Failures</t>
        </is>
      </c>
    </row>
    <row r="16">
      <c r="A16" t="inlineStr">
        <is>
          <t>PRB0085895</t>
        </is>
      </c>
      <c r="B16" t="inlineStr">
        <is>
          <t>P2</t>
        </is>
      </c>
      <c r="C16" t="inlineStr">
        <is>
          <t>RCA</t>
        </is>
      </c>
      <c r="E16" t="inlineStr">
        <is>
          <t>Global Acquisition - New Accounts On-Boarding Process Orchestration - E3-Production</t>
        </is>
      </c>
      <c r="F16" t="inlineStr">
        <is>
          <t>Major Impact Service Disruption - GO2 AutoMIMReq Instant Decision Impact - Dup Check Failures</t>
        </is>
      </c>
    </row>
    <row r="17">
      <c r="A17" t="inlineStr">
        <is>
          <t>PRB0085894</t>
        </is>
      </c>
      <c r="B17" t="inlineStr">
        <is>
          <t>P2</t>
        </is>
      </c>
      <c r="C17" t="inlineStr">
        <is>
          <t>Assessed</t>
        </is>
      </c>
      <c r="E17" t="inlineStr">
        <is>
          <t>L&amp;B Web - Loyalty Redemptions - E3-Production</t>
        </is>
      </c>
      <c r="F17" t="inlineStr">
        <is>
          <t>Major Impact Service Disruption - multiple loyalty failures</t>
        </is>
      </c>
    </row>
    <row r="18">
      <c r="A18" t="inlineStr">
        <is>
          <t>PRB0085893</t>
        </is>
      </c>
      <c r="B18" t="inlineStr">
        <is>
          <t>P2</t>
        </is>
      </c>
      <c r="C18" t="inlineStr">
        <is>
          <t>RCA</t>
        </is>
      </c>
      <c r="E18" t="inlineStr">
        <is>
          <t>Spend IQ Analytics - E3-Production</t>
        </is>
      </c>
      <c r="F18" t="inlineStr">
        <is>
          <t>Major Impact Service Disruption - Spend IQ API is unable to receive requests, and is logging connection errors</t>
        </is>
      </c>
    </row>
    <row r="19">
      <c r="A19" t="inlineStr">
        <is>
          <t>PRB0085892</t>
        </is>
      </c>
      <c r="B19" t="inlineStr">
        <is>
          <t>P1</t>
        </is>
      </c>
      <c r="C19" t="inlineStr">
        <is>
          <t>RCA</t>
        </is>
      </c>
      <c r="E19" t="inlineStr">
        <is>
          <t>CT - Online - Portal - E3-Production</t>
        </is>
      </c>
      <c r="F19" t="inlineStr">
        <is>
          <t>Major Impact Service Disruption - INC7848285 - Expedia Group Incident Notification - Initial</t>
        </is>
      </c>
    </row>
    <row r="20">
      <c r="A20" t="inlineStr">
        <is>
          <t>PRB0085887</t>
        </is>
      </c>
      <c r="B20" t="inlineStr">
        <is>
          <t>P2</t>
        </is>
      </c>
      <c r="C20" t="inlineStr">
        <is>
          <t>Assessed</t>
        </is>
      </c>
      <c r="E20" t="inlineStr">
        <is>
          <t>Global Acquisition - New Accounts On-Boarding Process Orchestration - E3-Production</t>
        </is>
      </c>
      <c r="F20" t="inlineStr">
        <is>
          <t>Major Impact Service Disruption - GO2 ROD failures Impact to Instant Decision</t>
        </is>
      </c>
    </row>
    <row r="21">
      <c r="A21" t="inlineStr">
        <is>
          <t>PRB0085886</t>
        </is>
      </c>
      <c r="B21" t="inlineStr">
        <is>
          <t>P2</t>
        </is>
      </c>
      <c r="C21" t="inlineStr">
        <is>
          <t>New</t>
        </is>
      </c>
      <c r="E21" t="inlineStr">
        <is>
          <t>Digital Merchant Experience User Management - E3-Production</t>
        </is>
      </c>
      <c r="F21" t="inlineStr">
        <is>
          <t>Major Impact Service Disruption - AWS service throwing 503 error</t>
        </is>
      </c>
    </row>
    <row r="22">
      <c r="A22" t="inlineStr">
        <is>
          <t>PRB0085885</t>
        </is>
      </c>
      <c r="B22" t="inlineStr">
        <is>
          <t>P1</t>
        </is>
      </c>
      <c r="C22" t="inlineStr">
        <is>
          <t>RCA</t>
        </is>
      </c>
      <c r="E22" t="inlineStr">
        <is>
          <t>Intuitive Servicing Portal Ecosystem - E3-Production</t>
        </is>
      </c>
      <c r="F22" t="inlineStr">
        <is>
          <t>Major Impact Service Disruption - Account no loading for MNL CCP's</t>
        </is>
      </c>
    </row>
    <row r="23">
      <c r="A23" t="inlineStr">
        <is>
          <t>PRB0085882</t>
        </is>
      </c>
      <c r="B23" t="inlineStr">
        <is>
          <t>P2</t>
        </is>
      </c>
      <c r="C23" t="inlineStr">
        <is>
          <t>Assessed</t>
        </is>
      </c>
      <c r="E23" t="inlineStr">
        <is>
          <t>Mobile Service Layer - E3-Production</t>
        </is>
      </c>
      <c r="F23" t="inlineStr">
        <is>
          <t>Major Impact Service Disruption - Loungefinder Failures</t>
        </is>
      </c>
    </row>
    <row r="24">
      <c r="A24" t="inlineStr">
        <is>
          <t>PRB0085881</t>
        </is>
      </c>
      <c r="B24" t="inlineStr">
        <is>
          <t>P2</t>
        </is>
      </c>
      <c r="C24" t="inlineStr">
        <is>
          <t>Assessed</t>
        </is>
      </c>
      <c r="D24" t="inlineStr">
        <is>
          <t>software/business</t>
        </is>
      </c>
      <c r="E24" t="inlineStr">
        <is>
          <t>Global Risk &amp; Compliance Screening (Bridger) - E3-Production</t>
        </is>
      </c>
      <c r="F24" t="inlineStr">
        <is>
          <t>TIMS Certaas One Touch Solution Certifcate Update Failure - Bridger Customer Journey Resiliency Test 2025</t>
        </is>
      </c>
    </row>
    <row r="25">
      <c r="A25" t="inlineStr">
        <is>
          <t>PRB0085880</t>
        </is>
      </c>
      <c r="B25" t="inlineStr">
        <is>
          <t>P2</t>
        </is>
      </c>
      <c r="C25" t="inlineStr">
        <is>
          <t>New</t>
        </is>
      </c>
      <c r="E25" t="inlineStr">
        <is>
          <t>Intl Digital Existing Customer Application - E3-Production</t>
        </is>
      </c>
      <c r="F25" t="inlineStr">
        <is>
          <t>Major Impact Service Disruption -  INVALID_GO2_RESPONSE</t>
        </is>
      </c>
    </row>
    <row r="26">
      <c r="A26" t="inlineStr">
        <is>
          <t>PRB0085873</t>
        </is>
      </c>
      <c r="B26" t="inlineStr">
        <is>
          <t>P2</t>
        </is>
      </c>
      <c r="C26" t="inlineStr">
        <is>
          <t>Assessed</t>
        </is>
      </c>
      <c r="E26" t="inlineStr">
        <is>
          <t>Mobile Service Layer - E3-Production</t>
        </is>
      </c>
      <c r="F26" t="inlineStr">
        <is>
          <t>Major Impact Service Disruption - Personal Checking Accounts - Rewards failures</t>
        </is>
      </c>
    </row>
    <row r="27">
      <c r="A27" t="inlineStr">
        <is>
          <t>PRB0085872</t>
        </is>
      </c>
      <c r="B27" t="inlineStr">
        <is>
          <t>P2</t>
        </is>
      </c>
      <c r="C27" t="inlineStr">
        <is>
          <t>RCA</t>
        </is>
      </c>
      <c r="E27" t="inlineStr">
        <is>
          <t>Global Servicing Portal - E3-Production</t>
        </is>
      </c>
      <c r="F27" t="inlineStr">
        <is>
          <t>Major Impact Service Disruption - UCID fails even though customers have passed security</t>
        </is>
      </c>
    </row>
    <row r="28">
      <c r="A28" t="inlineStr">
        <is>
          <t>PRB0085870</t>
        </is>
      </c>
      <c r="B28" t="inlineStr">
        <is>
          <t>P2</t>
        </is>
      </c>
      <c r="C28" t="inlineStr">
        <is>
          <t>New</t>
        </is>
      </c>
      <c r="D28" t="inlineStr">
        <is>
          <t>cloud management/access</t>
        </is>
      </c>
      <c r="E28" t="inlineStr">
        <is>
          <t>EDP Request Management - E3-Production</t>
        </is>
      </c>
      <c r="F28" t="inlineStr">
        <is>
          <t>Use case failing with parse view error</t>
        </is>
      </c>
    </row>
    <row r="29">
      <c r="A29" t="inlineStr">
        <is>
          <t>PRB0085868</t>
        </is>
      </c>
      <c r="B29" t="inlineStr">
        <is>
          <t>P2</t>
        </is>
      </c>
      <c r="C29" t="inlineStr">
        <is>
          <t>RCA</t>
        </is>
      </c>
      <c r="E29" t="inlineStr">
        <is>
          <t>Issuance Replacements Service - E3-Production</t>
        </is>
      </c>
      <c r="F29" t="inlineStr">
        <is>
          <t>Major Impact Service Disruption - :siren5:IRS-CJ: Front-end function Failures in ReadReasonsForCardReplacement.v1 with Error: Error is blank</t>
        </is>
      </c>
    </row>
    <row r="30">
      <c r="A30" t="inlineStr">
        <is>
          <t>PRB0085860</t>
        </is>
      </c>
      <c r="B30" t="inlineStr">
        <is>
          <t>P2</t>
        </is>
      </c>
      <c r="C30" t="inlineStr">
        <is>
          <t>Assessed</t>
        </is>
      </c>
      <c r="E30" t="inlineStr">
        <is>
          <t>Global Acquisition - New Accounts On-Boarding Process Orchestration - E3-Production</t>
        </is>
      </c>
      <c r="F30" t="inlineStr">
        <is>
          <t>Major Impact Service Disruption - TPDG Pod failure - tpdg-credit-inq-bg-a-deployment-74fdccb468-jk6c8 - 8/19/25</t>
        </is>
      </c>
    </row>
    <row r="31">
      <c r="A31" t="inlineStr">
        <is>
          <t>PRB0085859</t>
        </is>
      </c>
      <c r="B31" t="inlineStr">
        <is>
          <t>P2</t>
        </is>
      </c>
      <c r="C31" t="inlineStr">
        <is>
          <t>RCA</t>
        </is>
      </c>
      <c r="E31" t="inlineStr">
        <is>
          <t>SafeKey - 3DS Directory Server - E3-Production</t>
        </is>
      </c>
      <c r="F31" t="inlineStr">
        <is>
          <t>Major Impact Service Disruption - Results 'Failures' Exceeded 50 in last 60 minutes</t>
        </is>
      </c>
    </row>
    <row r="32">
      <c r="A32" t="inlineStr">
        <is>
          <t>PRB0085858</t>
        </is>
      </c>
      <c r="B32" t="inlineStr">
        <is>
          <t>P2</t>
        </is>
      </c>
      <c r="C32" t="inlineStr">
        <is>
          <t>Assessed</t>
        </is>
      </c>
      <c r="E32" t="inlineStr">
        <is>
          <t>Loyalty Account Manager - E3-Production</t>
        </is>
      </c>
      <c r="F32" t="inlineStr">
        <is>
          <t>Major Impact Service Disruption - MR functionfailures</t>
        </is>
      </c>
    </row>
    <row r="33">
      <c r="A33" t="inlineStr">
        <is>
          <t>PRB0085856</t>
        </is>
      </c>
      <c r="B33" t="inlineStr">
        <is>
          <t>P2</t>
        </is>
      </c>
      <c r="C33" t="inlineStr">
        <is>
          <t>New</t>
        </is>
      </c>
      <c r="E33" t="inlineStr">
        <is>
          <t>dipf-nat.phx.aexp.com</t>
        </is>
      </c>
      <c r="F33" t="inlineStr">
        <is>
          <t>MVS_DIPF: Service Globestar 242 Canada Acct board, txn post,Card Iss - ECC RECAP is running late. Will finish at 10:00:20 19/08/2025 GMT-05:00 instead</t>
        </is>
      </c>
    </row>
    <row r="34">
      <c r="A34" t="inlineStr">
        <is>
          <t>PRB0085855</t>
        </is>
      </c>
      <c r="B34" t="inlineStr">
        <is>
          <t>P2</t>
        </is>
      </c>
      <c r="C34" t="inlineStr">
        <is>
          <t>New</t>
        </is>
      </c>
      <c r="E34" t="inlineStr">
        <is>
          <t>Intl Digital Existing Customer Application - E3-Production</t>
        </is>
      </c>
      <c r="F34" t="inlineStr">
        <is>
          <t>Major Impact Service Disruption - uk-affiliate-ewp-prospect-journey | Exception while getting the token details AFFILIATE_PREFILL_SERVICE_FAILED</t>
        </is>
      </c>
    </row>
    <row r="35">
      <c r="A35" t="inlineStr">
        <is>
          <t>PRB0085852</t>
        </is>
      </c>
      <c r="B35" t="inlineStr">
        <is>
          <t>P2</t>
        </is>
      </c>
      <c r="C35" t="inlineStr">
        <is>
          <t>RCA</t>
        </is>
      </c>
      <c r="E35" t="inlineStr">
        <is>
          <t>TPFPTPFA</t>
        </is>
      </c>
      <c r="F35" t="inlineStr">
        <is>
          <t>Major Impact Service Disruption - REAL TIME CAPTURE 20MINS BEHIND.</t>
        </is>
      </c>
    </row>
    <row r="36">
      <c r="A36" t="inlineStr">
        <is>
          <t>PRB0085849</t>
        </is>
      </c>
      <c r="B36" t="inlineStr">
        <is>
          <t>P2</t>
        </is>
      </c>
      <c r="C36" t="inlineStr">
        <is>
          <t>RCA</t>
        </is>
      </c>
      <c r="E36" t="inlineStr">
        <is>
          <t>vPayment Next Generation - E3-Production</t>
        </is>
      </c>
      <c r="F36" t="inlineStr">
        <is>
          <t>Major Impact Service Disruption - The alert condition for 'Failure Alert - Interfacing system: ETV (Condition: &gt;= 12 failures in &lt;15 mins&gt; w</t>
        </is>
      </c>
    </row>
    <row r="37">
      <c r="A37" t="inlineStr">
        <is>
          <t>PRB0085846</t>
        </is>
      </c>
      <c r="B37" t="inlineStr">
        <is>
          <t>P2</t>
        </is>
      </c>
      <c r="C37" t="inlineStr">
        <is>
          <t>New</t>
        </is>
      </c>
      <c r="E37" t="inlineStr">
        <is>
          <t>Mobile Service Layer - E3-Production</t>
        </is>
      </c>
      <c r="F37" t="inlineStr">
        <is>
          <t>Major Impact Service Disruption - Card Replacement Failures</t>
        </is>
      </c>
    </row>
    <row r="38">
      <c r="A38" t="inlineStr">
        <is>
          <t>PRB0085844</t>
        </is>
      </c>
      <c r="B38" t="inlineStr">
        <is>
          <t>P2</t>
        </is>
      </c>
      <c r="C38" t="inlineStr">
        <is>
          <t>New</t>
        </is>
      </c>
      <c r="E38" t="inlineStr">
        <is>
          <t>CREDIT SERVICING PLATFORM - E3-Production</t>
        </is>
      </c>
      <c r="F38" t="inlineStr">
        <is>
          <t>Major Impact Service Disruption - TCCB-TCP: CCP: remote: ptp window not loading in csp</t>
        </is>
      </c>
    </row>
    <row r="39">
      <c r="A39" t="inlineStr">
        <is>
          <t>PRB0085843</t>
        </is>
      </c>
      <c r="B39" t="inlineStr">
        <is>
          <t>P2</t>
        </is>
      </c>
      <c r="C39" t="inlineStr">
        <is>
          <t>Assessed</t>
        </is>
      </c>
      <c r="E39" t="inlineStr">
        <is>
          <t>Global Acquisition - New Accounts On-Boarding Process Orchestration - E3-Production</t>
        </is>
      </c>
      <c r="F39" t="inlineStr">
        <is>
          <t>Major Impact Service Disruption - ROD failures</t>
        </is>
      </c>
    </row>
    <row r="40">
      <c r="A40" t="inlineStr">
        <is>
          <t>PRB0085842</t>
        </is>
      </c>
      <c r="B40" t="inlineStr">
        <is>
          <t>P2</t>
        </is>
      </c>
      <c r="C40" t="inlineStr">
        <is>
          <t>Assessed</t>
        </is>
      </c>
      <c r="E40" t="inlineStr">
        <is>
          <t>Global Acquisition - New Accounts On-Boarding Process Orchestration - E3-Production</t>
        </is>
      </c>
      <c r="F40" t="inlineStr">
        <is>
          <t>Major Impact Service Disruption - GO2 AutoMIMReq Instant Decision Impact</t>
        </is>
      </c>
    </row>
    <row r="41">
      <c r="A41" t="inlineStr">
        <is>
          <t>PRB0085837</t>
        </is>
      </c>
      <c r="B41" t="inlineStr">
        <is>
          <t>P2</t>
        </is>
      </c>
      <c r="C41" t="inlineStr">
        <is>
          <t>RCA</t>
        </is>
      </c>
      <c r="E41" t="inlineStr">
        <is>
          <t>WDE Application Suite</t>
        </is>
      </c>
      <c r="F41" t="inlineStr">
        <is>
          <t>Major Impact Service Disruption - WDE issue - Multiple sites reporting they are unable to access the corporate favorites on WDE</t>
        </is>
      </c>
    </row>
    <row r="42">
      <c r="A42" t="inlineStr">
        <is>
          <t>PRB0085836</t>
        </is>
      </c>
      <c r="B42" t="inlineStr">
        <is>
          <t>P2</t>
        </is>
      </c>
      <c r="C42" t="inlineStr">
        <is>
          <t>RCA</t>
        </is>
      </c>
      <c r="D42" t="inlineStr">
        <is>
          <t>database/db2</t>
        </is>
      </c>
      <c r="E42" t="inlineStr">
        <is>
          <t>eprddb2a.ipc.us.aexp.com</t>
        </is>
      </c>
      <c r="F42" t="inlineStr">
        <is>
          <t>The "connection" between Db2 on Z and distributed fails regularly on weekends</t>
        </is>
      </c>
    </row>
    <row r="43">
      <c r="A43" t="inlineStr">
        <is>
          <t>PRB0085831</t>
        </is>
      </c>
      <c r="B43" t="inlineStr">
        <is>
          <t>P2</t>
        </is>
      </c>
      <c r="C43" t="inlineStr">
        <is>
          <t>Assessed</t>
        </is>
      </c>
      <c r="E43" t="inlineStr">
        <is>
          <t>Manage Your Customer Account (MYCA) - E3-Production</t>
        </is>
      </c>
      <c r="F43" t="inlineStr">
        <is>
          <t>Major Impact Service Disruption - Seelect ad redeem failures</t>
        </is>
      </c>
    </row>
    <row r="44">
      <c r="A44" t="inlineStr">
        <is>
          <t>PRB0085830</t>
        </is>
      </c>
      <c r="B44" t="inlineStr">
        <is>
          <t>P2</t>
        </is>
      </c>
      <c r="C44" t="inlineStr">
        <is>
          <t>Assessed</t>
        </is>
      </c>
      <c r="E44" t="inlineStr">
        <is>
          <t>Mobile Service Layer - E3-Production</t>
        </is>
      </c>
      <c r="F44" t="inlineStr">
        <is>
          <t>Major Impact Service Disruption - CreateLoyaltyBenefitEnrollmentStatus.v1 failures</t>
        </is>
      </c>
    </row>
    <row r="45">
      <c r="A45" t="inlineStr">
        <is>
          <t>PRB0085828</t>
        </is>
      </c>
      <c r="B45" t="inlineStr">
        <is>
          <t>P2</t>
        </is>
      </c>
      <c r="C45" t="inlineStr">
        <is>
          <t>RCA</t>
        </is>
      </c>
      <c r="E45" t="inlineStr">
        <is>
          <t>Authorization</t>
        </is>
      </c>
      <c r="F45" t="inlineStr">
        <is>
          <t>Major Impact Service Disruption - 2025-08-16 13:01:07.21122620250816 BANCO DE ORO PH PayNet UNSCHEDULED HOST STANDIN</t>
        </is>
      </c>
    </row>
    <row r="46">
      <c r="A46" t="inlineStr">
        <is>
          <t>PRB0085826</t>
        </is>
      </c>
      <c r="B46" t="inlineStr">
        <is>
          <t>P2</t>
        </is>
      </c>
      <c r="C46" t="inlineStr">
        <is>
          <t>Assessed</t>
        </is>
      </c>
      <c r="E46" t="inlineStr">
        <is>
          <t>Pack Engine - E3-Production</t>
        </is>
      </c>
      <c r="F46" t="inlineStr">
        <is>
          <t>Major Impact Service Disruption - PackEngine IPC2 POD are dropping impacting live traffic</t>
        </is>
      </c>
    </row>
    <row r="47">
      <c r="A47" t="inlineStr">
        <is>
          <t>PRB0085825</t>
        </is>
      </c>
      <c r="B47" t="inlineStr">
        <is>
          <t>P2</t>
        </is>
      </c>
      <c r="C47" t="inlineStr">
        <is>
          <t>New</t>
        </is>
      </c>
      <c r="E47" t="inlineStr">
        <is>
          <t>Manage Your Customer Account (MYCA) - E3-Production</t>
        </is>
      </c>
      <c r="F47" t="inlineStr">
        <is>
          <t>Major Impact Service Disruption - Banking failures</t>
        </is>
      </c>
    </row>
    <row r="48">
      <c r="A48" t="inlineStr">
        <is>
          <t>PRB0085824</t>
        </is>
      </c>
      <c r="B48" t="inlineStr">
        <is>
          <t>P1</t>
        </is>
      </c>
      <c r="C48" t="inlineStr">
        <is>
          <t>New</t>
        </is>
      </c>
      <c r="E48" t="inlineStr">
        <is>
          <t>Intuitive Servicing Portal Ecosystem - E3-Production</t>
        </is>
      </c>
      <c r="F48" t="inlineStr">
        <is>
          <t>Major Impact Service Disruption - Multiple CEN and CSN CCPs are reporting multiple errors in ISP</t>
        </is>
      </c>
    </row>
    <row r="49">
      <c r="A49" t="inlineStr">
        <is>
          <t>PRB0085820</t>
        </is>
      </c>
      <c r="B49" t="inlineStr">
        <is>
          <t>P2</t>
        </is>
      </c>
      <c r="C49" t="inlineStr">
        <is>
          <t>New</t>
        </is>
      </c>
      <c r="E49" t="inlineStr">
        <is>
          <t>DIPZ</t>
        </is>
      </c>
      <c r="F49" t="inlineStr">
        <is>
          <t>Globestar 180 EMEA Consumer Acct board,txn post - ECC RECAP is completed late.</t>
        </is>
      </c>
    </row>
    <row r="50">
      <c r="A50" t="inlineStr">
        <is>
          <t>PRB0085815</t>
        </is>
      </c>
      <c r="B50" t="inlineStr">
        <is>
          <t>P2</t>
        </is>
      </c>
      <c r="C50" t="inlineStr">
        <is>
          <t>RCA</t>
        </is>
      </c>
      <c r="E50" t="inlineStr">
        <is>
          <t>Global Acquisition - New Accounts On-Boarding Process Orchestration - E3-Production</t>
        </is>
      </c>
      <c r="F50" t="inlineStr">
        <is>
          <t>Aug 14 TransUnion CATUSOW Outage</t>
        </is>
      </c>
    </row>
    <row r="51">
      <c r="A51" t="inlineStr">
        <is>
          <t>PRB0085812</t>
        </is>
      </c>
      <c r="B51" t="inlineStr">
        <is>
          <t>P2</t>
        </is>
      </c>
      <c r="C51" t="inlineStr">
        <is>
          <t>Assessed</t>
        </is>
      </c>
      <c r="E51" t="inlineStr">
        <is>
          <t>CT - Utilities - Sabre GDS - E3-Production</t>
        </is>
      </c>
      <c r="F51" t="inlineStr">
        <is>
          <t>Major Impact Service Disruption - TLS Sabre 360 (SR360): Support UK Sabre scripts not working</t>
        </is>
      </c>
    </row>
    <row r="52">
      <c r="A52" t="inlineStr">
        <is>
          <t>PRB0085811</t>
        </is>
      </c>
      <c r="B52" t="inlineStr">
        <is>
          <t>P2</t>
        </is>
      </c>
      <c r="C52" t="inlineStr">
        <is>
          <t>New</t>
        </is>
      </c>
      <c r="E52" t="inlineStr">
        <is>
          <t>SOFTWARE</t>
        </is>
      </c>
      <c r="F52" t="inlineStr">
        <is>
          <t>Major Impact Service Disruption - Incorrect Promise to pay amount reflecting in JL</t>
        </is>
      </c>
    </row>
    <row r="53">
      <c r="A53" t="inlineStr">
        <is>
          <t>PRB0085809</t>
        </is>
      </c>
      <c r="B53" t="inlineStr">
        <is>
          <t>P2</t>
        </is>
      </c>
      <c r="C53" t="inlineStr">
        <is>
          <t>New</t>
        </is>
      </c>
      <c r="E53" t="inlineStr">
        <is>
          <t>Digital Acquisitions Card App - E3-Production</t>
        </is>
      </c>
      <c r="F53" t="inlineStr">
        <is>
          <t>Request for logger enhancement</t>
        </is>
      </c>
    </row>
    <row r="54">
      <c r="A54" t="inlineStr">
        <is>
          <t>PRB0085807</t>
        </is>
      </c>
      <c r="B54" t="inlineStr">
        <is>
          <t>P2</t>
        </is>
      </c>
      <c r="C54" t="inlineStr">
        <is>
          <t>RCA</t>
        </is>
      </c>
      <c r="E54" t="inlineStr">
        <is>
          <t>Manage Your Customer Account (MYCA) - E3-Production</t>
        </is>
      </c>
      <c r="F54" t="inlineStr">
        <is>
          <t>Major Impact Service Disruption - failures for UpdateCustomerIdentityAndRelationships.v2</t>
        </is>
      </c>
    </row>
    <row r="55">
      <c r="A55" t="inlineStr">
        <is>
          <t>PRB0085803</t>
        </is>
      </c>
      <c r="B55" t="inlineStr">
        <is>
          <t>P2</t>
        </is>
      </c>
      <c r="C55" t="inlineStr">
        <is>
          <t>New</t>
        </is>
      </c>
      <c r="E55" t="inlineStr">
        <is>
          <t>Authorization</t>
        </is>
      </c>
      <c r="F55" t="inlineStr">
        <is>
          <t>Major Impact Service Disruption - GMNTS | AUTH |  EMEA Merchant |  Easy Cash GICC for port 20627  disconnected 20:22 MST</t>
        </is>
      </c>
    </row>
    <row r="56">
      <c r="A56" t="inlineStr">
        <is>
          <t>PRB0085798</t>
        </is>
      </c>
      <c r="B56" t="inlineStr">
        <is>
          <t>P2</t>
        </is>
      </c>
      <c r="C56" t="inlineStr">
        <is>
          <t>New</t>
        </is>
      </c>
      <c r="E56" t="inlineStr">
        <is>
          <t>Mobile Service Layer - E3-Production</t>
        </is>
      </c>
      <c r="F56" t="inlineStr">
        <is>
          <t>Major Impact Service Disruption - KYC Refresh High Response Time</t>
        </is>
      </c>
    </row>
    <row r="57">
      <c r="A57" t="inlineStr">
        <is>
          <t>PRB0085795</t>
        </is>
      </c>
      <c r="B57" t="inlineStr">
        <is>
          <t>P2</t>
        </is>
      </c>
      <c r="C57" t="inlineStr">
        <is>
          <t>106</t>
        </is>
      </c>
      <c r="D57" t="inlineStr">
        <is>
          <t>software/os</t>
        </is>
      </c>
      <c r="E57" t="inlineStr">
        <is>
          <t>phl7fg10f3</t>
        </is>
      </c>
      <c r="F57" t="inlineStr">
        <is>
          <t>Major Impact Service Disruption - Multiple Printers Badge Printer Issue</t>
        </is>
      </c>
    </row>
    <row r="58">
      <c r="A58" t="inlineStr">
        <is>
          <t>PRB0085789</t>
        </is>
      </c>
      <c r="B58" t="inlineStr">
        <is>
          <t>P2</t>
        </is>
      </c>
      <c r="C58" t="inlineStr">
        <is>
          <t>New</t>
        </is>
      </c>
      <c r="E58" t="inlineStr">
        <is>
          <t>vPayment Next Generation - E3-Production</t>
        </is>
      </c>
      <c r="F58" t="inlineStr">
        <is>
          <t>Major Impact Service Disruption - CUSTOMER JOURNEY FAILURES &gt;5 IN LAST 10 MINS</t>
        </is>
      </c>
    </row>
    <row r="59">
      <c r="A59" t="inlineStr">
        <is>
          <t>PRB0085786</t>
        </is>
      </c>
      <c r="B59" t="inlineStr">
        <is>
          <t>P2</t>
        </is>
      </c>
      <c r="C59" t="inlineStr">
        <is>
          <t>RCA</t>
        </is>
      </c>
      <c r="E59" t="inlineStr">
        <is>
          <t>Manage Your Customer Account (MYCA) - E3-Production</t>
        </is>
      </c>
      <c r="F59" t="inlineStr">
        <is>
          <t>Major Impact Service Disruption - C360 failures</t>
        </is>
      </c>
    </row>
    <row r="60">
      <c r="A60" t="inlineStr">
        <is>
          <t>PRB0085784</t>
        </is>
      </c>
      <c r="B60" t="inlineStr">
        <is>
          <t>P2</t>
        </is>
      </c>
      <c r="C60" t="inlineStr">
        <is>
          <t>New</t>
        </is>
      </c>
      <c r="E60" t="inlineStr">
        <is>
          <t>Enterprise Communication Platform - E3-Production</t>
        </is>
      </c>
      <c r="F60" t="inlineStr">
        <is>
          <t>ELF Logs are not loading in E3 IPC2</t>
        </is>
      </c>
    </row>
    <row r="61">
      <c r="A61" t="inlineStr">
        <is>
          <t>PRB0085783</t>
        </is>
      </c>
      <c r="B61" t="inlineStr">
        <is>
          <t>P2</t>
        </is>
      </c>
      <c r="C61" t="inlineStr">
        <is>
          <t>New</t>
        </is>
      </c>
      <c r="E61" t="inlineStr">
        <is>
          <t>Authorization</t>
        </is>
      </c>
      <c r="F61" t="inlineStr">
        <is>
          <t>Major Impact Service Disruption - 2025-08-13 04:35:47 Link Name: ServeVirtual_US_ISS1_GSO_ATM_1 Port: 35287 Node: pvnplnmopx206.tran.aexp.co</t>
        </is>
      </c>
    </row>
    <row r="62">
      <c r="A62" t="inlineStr">
        <is>
          <t>PRB0085776</t>
        </is>
      </c>
      <c r="B62" t="inlineStr">
        <is>
          <t>P1</t>
        </is>
      </c>
      <c r="C62" t="inlineStr">
        <is>
          <t>Assessed</t>
        </is>
      </c>
      <c r="E62" t="inlineStr">
        <is>
          <t>STAR (Intl Loyalty) - E3-Production</t>
        </is>
      </c>
      <c r="F62" t="inlineStr">
        <is>
          <t>Major Impact Service Disruption - CCP's unable to login to STAR.</t>
        </is>
      </c>
    </row>
    <row r="63">
      <c r="A63" t="inlineStr">
        <is>
          <t>PRB0085763</t>
        </is>
      </c>
      <c r="B63" t="inlineStr">
        <is>
          <t>P2</t>
        </is>
      </c>
      <c r="C63" t="inlineStr">
        <is>
          <t>Assessed</t>
        </is>
      </c>
      <c r="E63" t="inlineStr">
        <is>
          <t>STAR (Intl Loyalty) - E3-Production</t>
        </is>
      </c>
      <c r="F63" t="inlineStr">
        <is>
          <t>Major Impact Service Disruption - Failures for ReadRedemptionDetailsForTransactions.v1</t>
        </is>
      </c>
    </row>
    <row r="64">
      <c r="A64" t="inlineStr">
        <is>
          <t>PRB0085746</t>
        </is>
      </c>
      <c r="B64" t="inlineStr">
        <is>
          <t>P2</t>
        </is>
      </c>
      <c r="C64" t="inlineStr">
        <is>
          <t>Assessed</t>
        </is>
      </c>
      <c r="E64" t="inlineStr">
        <is>
          <t>Manage Your Customer Account (MYCA) - E3-Production</t>
        </is>
      </c>
      <c r="F64" t="inlineStr">
        <is>
          <t>Major Impact Service Disruption - ReadLoyaltyPartnerTransferAccountLinkages.v1 failures</t>
        </is>
      </c>
    </row>
    <row r="65">
      <c r="A65" t="inlineStr">
        <is>
          <t>PRB0085733</t>
        </is>
      </c>
      <c r="B65" t="inlineStr">
        <is>
          <t>P2</t>
        </is>
      </c>
      <c r="C65" t="inlineStr">
        <is>
          <t>RCA</t>
        </is>
      </c>
      <c r="E65" t="inlineStr">
        <is>
          <t>Manage Your Customer Account (MYCA) - E3-Production</t>
        </is>
      </c>
      <c r="F65" t="inlineStr">
        <is>
          <t>Major Impact Service Disruption - UpdateCustomerIdentityAndRelationships.v2 failures</t>
        </is>
      </c>
    </row>
    <row r="66">
      <c r="A66" t="inlineStr">
        <is>
          <t>PRB0085732</t>
        </is>
      </c>
      <c r="B66" t="inlineStr">
        <is>
          <t>P2</t>
        </is>
      </c>
      <c r="C66" t="inlineStr">
        <is>
          <t>RCA</t>
        </is>
      </c>
      <c r="E66" t="inlineStr">
        <is>
          <t>Manage Your Customer Account (MYCA) - E3-Production</t>
        </is>
      </c>
      <c r="F66" t="inlineStr">
        <is>
          <t>Major Impact Service Disruption - Multiple function failure</t>
        </is>
      </c>
    </row>
    <row r="67">
      <c r="A67" t="inlineStr">
        <is>
          <t>PRB0085731</t>
        </is>
      </c>
      <c r="B67" t="inlineStr">
        <is>
          <t>P2</t>
        </is>
      </c>
      <c r="C67" t="inlineStr">
        <is>
          <t>New</t>
        </is>
      </c>
      <c r="E67" t="inlineStr">
        <is>
          <t>Mobile Service Layer - E3-Production</t>
        </is>
      </c>
      <c r="F67" t="inlineStr">
        <is>
          <t>Major Impact Service Disruption - /moneyMovement/v1/submit Failures</t>
        </is>
      </c>
    </row>
    <row r="68">
      <c r="A68" t="inlineStr">
        <is>
          <t>PRB0085730</t>
        </is>
      </c>
      <c r="B68" t="inlineStr">
        <is>
          <t>P2</t>
        </is>
      </c>
      <c r="C68" t="inlineStr">
        <is>
          <t>New</t>
        </is>
      </c>
      <c r="E68" t="inlineStr">
        <is>
          <t>Enterprise Wallet - E3-Production</t>
        </is>
      </c>
      <c r="F68" t="inlineStr">
        <is>
          <t>Major Impact Service Disruption - Intermittent SSL Handshake failures for ApplePay provising</t>
        </is>
      </c>
    </row>
    <row r="69">
      <c r="A69" t="inlineStr">
        <is>
          <t>PRB0085729</t>
        </is>
      </c>
      <c r="B69" t="inlineStr">
        <is>
          <t>P2</t>
        </is>
      </c>
      <c r="C69" t="inlineStr">
        <is>
          <t>RCA</t>
        </is>
      </c>
      <c r="E69" t="inlineStr">
        <is>
          <t>Mobile Service Layer - E3-Production</t>
        </is>
      </c>
      <c r="F69" t="inlineStr">
        <is>
          <t>Major Impact Service Disruption - Spike in failures for /personalSavings/v1/timeline</t>
        </is>
      </c>
    </row>
    <row r="70">
      <c r="A70" t="inlineStr">
        <is>
          <t>PRB0085728</t>
        </is>
      </c>
      <c r="B70" t="inlineStr">
        <is>
          <t>P2</t>
        </is>
      </c>
      <c r="C70" t="inlineStr">
        <is>
          <t>New</t>
        </is>
      </c>
      <c r="E70" t="inlineStr">
        <is>
          <t>DIPB</t>
        </is>
      </c>
      <c r="F70" t="inlineStr">
        <is>
          <t>MVS_DIPS: Service APA BTA - Australia Batch cutoff (20 users) - RECAP is running late. Will finish at 09:00:40 09/08/2025 GMT+10:00 instead of 09:00:0</t>
        </is>
      </c>
    </row>
    <row r="71">
      <c r="A71" t="inlineStr">
        <is>
          <t>PRB0085726</t>
        </is>
      </c>
      <c r="B71" t="inlineStr">
        <is>
          <t>P2</t>
        </is>
      </c>
      <c r="C71" t="inlineStr">
        <is>
          <t>RCA</t>
        </is>
      </c>
      <c r="E71" t="inlineStr">
        <is>
          <t>Mobile Service Layer - E3-Production</t>
        </is>
      </c>
      <c r="F71" t="inlineStr">
        <is>
          <t>Major Impact Service Disruption - MFA Timeouts</t>
        </is>
      </c>
    </row>
    <row r="72">
      <c r="A72" t="inlineStr">
        <is>
          <t>PRB0085715</t>
        </is>
      </c>
      <c r="B72" t="inlineStr">
        <is>
          <t>P2</t>
        </is>
      </c>
      <c r="C72" t="inlineStr">
        <is>
          <t>Assessed</t>
        </is>
      </c>
      <c r="E72" t="inlineStr">
        <is>
          <t>Enterprise Wallet - E3-Production</t>
        </is>
      </c>
      <c r="F72" t="inlineStr">
        <is>
          <t>Major Impact Service Disruption - Observing SSL exceptions for dp-apple-pay since 07:27 PM MST</t>
        </is>
      </c>
    </row>
    <row r="73">
      <c r="A73" t="inlineStr">
        <is>
          <t>PRB0085712</t>
        </is>
      </c>
      <c r="B73" t="inlineStr">
        <is>
          <t>P2</t>
        </is>
      </c>
      <c r="C73" t="inlineStr">
        <is>
          <t>New</t>
        </is>
      </c>
      <c r="E73" t="inlineStr">
        <is>
          <t>CONNEX - WDE - E3-Production</t>
        </is>
      </c>
      <c r="F73" t="inlineStr">
        <is>
          <t>Major Impact Service Disruption - Japan market CCPs Tokyo and Osaka state unable to make outbound calls,  Calls disconnect or message that c</t>
        </is>
      </c>
    </row>
    <row r="74">
      <c r="A74" t="inlineStr">
        <is>
          <t>PRB0085710</t>
        </is>
      </c>
      <c r="B74" t="inlineStr">
        <is>
          <t>P2</t>
        </is>
      </c>
      <c r="C74" t="inlineStr">
        <is>
          <t>New</t>
        </is>
      </c>
      <c r="D74" t="inlineStr">
        <is>
          <t>software/system</t>
        </is>
      </c>
      <c r="E74" t="inlineStr">
        <is>
          <t>DIPT</t>
        </is>
      </c>
      <c r="F74" t="inlineStr">
        <is>
          <t>MVS_DIPS: Service GENESIS 137 Singapore Merchant Payments - ECC RECAP is running late. Will finish at 08:00:20 08/08/2025 GMT+10:00 instead of 08:00:0</t>
        </is>
      </c>
    </row>
    <row r="75">
      <c r="A75" t="inlineStr">
        <is>
          <t>PRB0085709</t>
        </is>
      </c>
      <c r="B75" t="inlineStr">
        <is>
          <t>P2</t>
        </is>
      </c>
      <c r="C75" t="inlineStr">
        <is>
          <t>RCA</t>
        </is>
      </c>
      <c r="D75" t="inlineStr">
        <is>
          <t>software/system</t>
        </is>
      </c>
      <c r="E75" t="inlineStr">
        <is>
          <t>DIPT</t>
        </is>
      </c>
      <c r="F75" t="inlineStr">
        <is>
          <t>MVS_DIPS: Service GENESIS 134 China Merchant Payments - ECC RECAP is running late. Will finish at 08:31 08/08/2025 GMT+10:00 instead of 08:30 08/08/20</t>
        </is>
      </c>
    </row>
    <row r="76">
      <c r="A76" t="inlineStr">
        <is>
          <t>PRB0085705</t>
        </is>
      </c>
      <c r="B76" t="inlineStr">
        <is>
          <t>P2</t>
        </is>
      </c>
      <c r="C76" t="inlineStr">
        <is>
          <t>New</t>
        </is>
      </c>
      <c r="E76" t="inlineStr">
        <is>
          <t>Loyalty.lpm.aexp.com</t>
        </is>
      </c>
      <c r="F76" t="inlineStr">
        <is>
          <t>Major Impact Service Disruption - Loyalty Failures</t>
        </is>
      </c>
    </row>
    <row r="77">
      <c r="A77" t="inlineStr">
        <is>
          <t>PRB0085704</t>
        </is>
      </c>
      <c r="B77" t="inlineStr">
        <is>
          <t>P2</t>
        </is>
      </c>
      <c r="C77" t="inlineStr">
        <is>
          <t>New</t>
        </is>
      </c>
      <c r="E77" t="inlineStr">
        <is>
          <t>Mobile Service Layer - E3-Production</t>
        </is>
      </c>
      <c r="F77" t="inlineStr">
        <is>
          <t>Major Impact Service Disruption - Available offers failures</t>
        </is>
      </c>
    </row>
    <row r="78">
      <c r="A78" t="inlineStr">
        <is>
          <t>PRB0085703</t>
        </is>
      </c>
      <c r="B78" t="inlineStr">
        <is>
          <t>P2</t>
        </is>
      </c>
      <c r="C78" t="inlineStr">
        <is>
          <t>New</t>
        </is>
      </c>
      <c r="E78" t="inlineStr">
        <is>
          <t>Mobile Service Layer - E3-Production</t>
        </is>
      </c>
      <c r="F78" t="inlineStr">
        <is>
          <t>Major Impact Service Disruption - mx payments failures</t>
        </is>
      </c>
    </row>
    <row r="79">
      <c r="A79" t="inlineStr">
        <is>
          <t>PRB0085700</t>
        </is>
      </c>
      <c r="B79" t="inlineStr">
        <is>
          <t>P2</t>
        </is>
      </c>
      <c r="C79" t="inlineStr">
        <is>
          <t>Assessed</t>
        </is>
      </c>
      <c r="E79" t="inlineStr">
        <is>
          <t>Mobile Service Layer - E3-Production</t>
        </is>
      </c>
      <c r="F79" t="inlineStr">
        <is>
          <t>Major Impact Service Disruption - Payment inquiry timeouts</t>
        </is>
      </c>
    </row>
    <row r="80">
      <c r="A80" t="inlineStr">
        <is>
          <t>PRB0085696</t>
        </is>
      </c>
      <c r="B80" t="inlineStr">
        <is>
          <t>P2</t>
        </is>
      </c>
      <c r="C80" t="inlineStr">
        <is>
          <t>New</t>
        </is>
      </c>
      <c r="E80" t="inlineStr">
        <is>
          <t>PrinterHK08.hk.aexp.com</t>
        </is>
      </c>
      <c r="F80" t="inlineStr">
        <is>
          <t>Major Impact Service Disruption - MPS Printer - Cannot sign in.</t>
        </is>
      </c>
    </row>
    <row r="81">
      <c r="A81" t="inlineStr">
        <is>
          <t>PRB0085695</t>
        </is>
      </c>
      <c r="B81" t="inlineStr">
        <is>
          <t>P2</t>
        </is>
      </c>
      <c r="C81" t="inlineStr">
        <is>
          <t>Fix in Progress</t>
        </is>
      </c>
      <c r="E81" t="inlineStr">
        <is>
          <t>Mobile Service Layer - E3-Production</t>
        </is>
      </c>
      <c r="F81" t="inlineStr">
        <is>
          <t>Major Impact Service Disruption - ReadRedemptionDetailsForTransactions.v1 failures for India market</t>
        </is>
      </c>
    </row>
    <row r="82">
      <c r="A82" t="inlineStr">
        <is>
          <t>PRB0085694</t>
        </is>
      </c>
      <c r="B82" t="inlineStr">
        <is>
          <t>P1</t>
        </is>
      </c>
      <c r="C82" t="inlineStr">
        <is>
          <t>New</t>
        </is>
      </c>
      <c r="E82" t="inlineStr">
        <is>
          <t>@ Work - E3-Production</t>
        </is>
      </c>
      <c r="F82" t="inlineStr">
        <is>
          <t>Major Impact Service Disruption - OPEN : GOPM atwork_NextGen - Chrome Agent - PEAK : WEB_CHECK_LOCAL_OUTAGE(Problem P-25082321)</t>
        </is>
      </c>
    </row>
    <row r="83">
      <c r="A83" t="inlineStr">
        <is>
          <t>PRB0085691</t>
        </is>
      </c>
      <c r="B83" t="inlineStr">
        <is>
          <t>P1</t>
        </is>
      </c>
      <c r="C83" t="inlineStr">
        <is>
          <t>New</t>
        </is>
      </c>
      <c r="D83" t="inlineStr">
        <is>
          <t>software/business</t>
        </is>
      </c>
      <c r="E83" t="inlineStr">
        <is>
          <t>@ Work - E3-Production</t>
        </is>
      </c>
      <c r="F83" t="inlineStr">
        <is>
          <t>OPEN : GOPM atwork_NextGen - Chrome Agent - PEAK : WEB_CHECK_LOCAL_OUTAGE(Problem P-25082321)</t>
        </is>
      </c>
    </row>
    <row r="84">
      <c r="A84" t="inlineStr">
        <is>
          <t>PRB0085688</t>
        </is>
      </c>
      <c r="B84" t="inlineStr">
        <is>
          <t>P2</t>
        </is>
      </c>
      <c r="C84" t="inlineStr">
        <is>
          <t>Assessed</t>
        </is>
      </c>
      <c r="E84" t="inlineStr">
        <is>
          <t>icn-eusw1.americanexpress.com</t>
        </is>
      </c>
      <c r="F84" t="inlineStr">
        <is>
          <t>INC029772726 Request got timed out at downstream ENRICHMENT SERVICE</t>
        </is>
      </c>
    </row>
    <row r="85">
      <c r="A85" t="inlineStr">
        <is>
          <t>PRB0085687</t>
        </is>
      </c>
      <c r="B85" t="inlineStr">
        <is>
          <t>P2</t>
        </is>
      </c>
      <c r="C85" t="inlineStr">
        <is>
          <t>Assessed</t>
        </is>
      </c>
      <c r="E85" t="inlineStr">
        <is>
          <t>icn-eusw1.americanexpress.com</t>
        </is>
      </c>
      <c r="F85" t="inlineStr">
        <is>
          <t>INC029051101 : Raven Document Generation Failures</t>
        </is>
      </c>
    </row>
    <row r="86">
      <c r="A86" t="inlineStr">
        <is>
          <t>PRB0085686</t>
        </is>
      </c>
      <c r="B86" t="inlineStr">
        <is>
          <t>P2</t>
        </is>
      </c>
      <c r="C86" t="inlineStr">
        <is>
          <t>Assessed</t>
        </is>
      </c>
      <c r="E86" t="inlineStr">
        <is>
          <t>Mobile Service Layer - E3-Production</t>
        </is>
      </c>
      <c r="F86" t="inlineStr">
        <is>
          <t>Major Impact Service Disruption - select and redeem failures</t>
        </is>
      </c>
    </row>
    <row r="87">
      <c r="A87" t="inlineStr">
        <is>
          <t>PRB0085684</t>
        </is>
      </c>
      <c r="B87" t="inlineStr">
        <is>
          <t>P2</t>
        </is>
      </c>
      <c r="C87" t="inlineStr">
        <is>
          <t>RCA</t>
        </is>
      </c>
      <c r="E87" t="inlineStr">
        <is>
          <t>Global Acquisition - New Accounts On-Boarding Process Orchestration - E3-Production</t>
        </is>
      </c>
      <c r="F87" t="inlineStr">
        <is>
          <t>Major Impact Service Disruption - TransUnion Canada services (CATUSOW &amp; CATUCRDTRPT) on 08/06/2025 09:40 MST</t>
        </is>
      </c>
    </row>
    <row r="88">
      <c r="A88" t="inlineStr">
        <is>
          <t>PRB0085683</t>
        </is>
      </c>
      <c r="B88" t="inlineStr">
        <is>
          <t>P2</t>
        </is>
      </c>
      <c r="C88" t="inlineStr">
        <is>
          <t>RCA</t>
        </is>
      </c>
      <c r="E88" t="inlineStr">
        <is>
          <t>One Identity - E3-Production</t>
        </is>
      </c>
      <c r="F88" t="inlineStr">
        <is>
          <t>Major Impact Service Disruption - Downdetector - Problems at American Express</t>
        </is>
      </c>
    </row>
    <row r="89">
      <c r="A89" t="inlineStr">
        <is>
          <t>PRB0085679</t>
        </is>
      </c>
      <c r="B89" t="inlineStr">
        <is>
          <t>P2</t>
        </is>
      </c>
      <c r="C89" t="inlineStr">
        <is>
          <t>RCA</t>
        </is>
      </c>
      <c r="E89" t="inlineStr">
        <is>
          <t>ARRANGEMENT MANAGER - E3-Production</t>
        </is>
      </c>
      <c r="F89" t="inlineStr">
        <is>
          <t>Major Impact Service Disruption - Payment submit failures</t>
        </is>
      </c>
    </row>
    <row r="90">
      <c r="A90" t="inlineStr">
        <is>
          <t>PRB0085677</t>
        </is>
      </c>
      <c r="B90" t="inlineStr">
        <is>
          <t>P2</t>
        </is>
      </c>
      <c r="C90" t="inlineStr">
        <is>
          <t>RCA</t>
        </is>
      </c>
      <c r="E90" t="inlineStr">
        <is>
          <t>Mobile Service Layer - E3-Production</t>
        </is>
      </c>
      <c r="F90" t="inlineStr">
        <is>
          <t>Major Impact Service Disruption - CreateLineManagementApplication.v3 Failures</t>
        </is>
      </c>
    </row>
    <row r="91">
      <c r="A91" t="inlineStr">
        <is>
          <t>PRB0085674</t>
        </is>
      </c>
      <c r="B91" t="inlineStr">
        <is>
          <t>P2</t>
        </is>
      </c>
      <c r="C91" t="inlineStr">
        <is>
          <t>New</t>
        </is>
      </c>
      <c r="E91" t="inlineStr">
        <is>
          <t>Manage Your Customer Account (MYCA) - E3-Production</t>
        </is>
      </c>
      <c r="F91" t="inlineStr">
        <is>
          <t>Major Impact Service Disruption - ReadCustomerOverviewSecondary.web.v1</t>
        </is>
      </c>
    </row>
    <row r="92">
      <c r="A92" t="inlineStr">
        <is>
          <t>PRB0085666</t>
        </is>
      </c>
      <c r="B92" t="inlineStr">
        <is>
          <t>P2</t>
        </is>
      </c>
      <c r="C92" t="inlineStr">
        <is>
          <t>Fix in Progress</t>
        </is>
      </c>
      <c r="D92" t="inlineStr">
        <is>
          <t>software/business</t>
        </is>
      </c>
      <c r="E92" t="inlineStr">
        <is>
          <t>gna.intra.app.aexp.com</t>
        </is>
      </c>
      <c r="F92" t="inlineStr">
        <is>
          <t>GO2 AutoMIMReq Instant Decision Impact</t>
        </is>
      </c>
    </row>
    <row r="93">
      <c r="A93" t="inlineStr">
        <is>
          <t>PRB0085658</t>
        </is>
      </c>
      <c r="B93" t="inlineStr">
        <is>
          <t>P2</t>
        </is>
      </c>
      <c r="C93" t="inlineStr">
        <is>
          <t>Assessed</t>
        </is>
      </c>
      <c r="E93" t="inlineStr">
        <is>
          <t>R42 REDEMPTION - E3-Production</t>
        </is>
      </c>
      <c r="F93" t="inlineStr">
        <is>
          <t>PRB0085658 - Major Impact Service Disruption - Select and reedem failures for US market</t>
        </is>
      </c>
    </row>
    <row r="94">
      <c r="A94" t="inlineStr">
        <is>
          <t>PRB0085654</t>
        </is>
      </c>
      <c r="B94" t="inlineStr">
        <is>
          <t>P2</t>
        </is>
      </c>
      <c r="C94" t="inlineStr">
        <is>
          <t>New</t>
        </is>
      </c>
      <c r="E94" t="inlineStr">
        <is>
          <t>GMS Risk Exposure &amp; Collateral Management - E3-Production</t>
        </is>
      </c>
      <c r="F94" t="inlineStr">
        <is>
          <t>Deploying Se Demo Data extraction code change to LUMI E3</t>
        </is>
      </c>
    </row>
    <row r="95">
      <c r="A95" t="inlineStr">
        <is>
          <t>PRB0085648</t>
        </is>
      </c>
      <c r="B95" t="inlineStr">
        <is>
          <t>P2</t>
        </is>
      </c>
      <c r="C95" t="inlineStr">
        <is>
          <t>Assessed</t>
        </is>
      </c>
      <c r="E95" t="inlineStr">
        <is>
          <t>Manage Your Customer Account (MYCA) - E3-Production</t>
        </is>
      </c>
      <c r="F95" t="inlineStr">
        <is>
          <t>Major Impact Service Disruption - Observing intermittent failures for ReadLoyaltyCatalogForLoyaltyCredit.v1</t>
        </is>
      </c>
    </row>
    <row r="96">
      <c r="A96" t="inlineStr">
        <is>
          <t>PRB0085643</t>
        </is>
      </c>
      <c r="B96" t="inlineStr">
        <is>
          <t>P2</t>
        </is>
      </c>
      <c r="C96" t="inlineStr">
        <is>
          <t>RCA</t>
        </is>
      </c>
      <c r="E96" t="inlineStr">
        <is>
          <t>Digital Banking Platform - E3-Production</t>
        </is>
      </c>
      <c r="F96" t="inlineStr">
        <is>
          <t>Major Impact Service Disruption - ReadActimizeRiskDecisionForZelleTransaction.sor.v1 failure</t>
        </is>
      </c>
    </row>
    <row r="97">
      <c r="A97" t="inlineStr">
        <is>
          <t>PRB0085642</t>
        </is>
      </c>
      <c r="B97" t="inlineStr">
        <is>
          <t>P2</t>
        </is>
      </c>
      <c r="C97" t="inlineStr">
        <is>
          <t>Assessed</t>
        </is>
      </c>
      <c r="E97" t="inlineStr">
        <is>
          <t>L&amp;B Web - Loyalty Redemptions - E3-Production</t>
        </is>
      </c>
      <c r="F97" t="inlineStr">
        <is>
          <t>Major Impact Service Disruption - CreateLoyaltyPartnerTransferAccountLinkage.v1 failures</t>
        </is>
      </c>
    </row>
    <row r="98">
      <c r="A98" t="inlineStr">
        <is>
          <t>PRB0085633</t>
        </is>
      </c>
      <c r="B98" t="inlineStr">
        <is>
          <t>P2</t>
        </is>
      </c>
      <c r="C98" t="inlineStr">
        <is>
          <t>106</t>
        </is>
      </c>
      <c r="D98" t="inlineStr">
        <is>
          <t>network/equipment</t>
        </is>
      </c>
      <c r="E98" t="inlineStr">
        <is>
          <t>Global Acquisition - New Accounts On-Boarding Process Orchestration - E3-Production</t>
        </is>
      </c>
      <c r="F98" t="inlineStr">
        <is>
          <t>Major Impact Service Disruption - Loan Agreement Response:Status : Failed|Type : 01|EntityCategory : Individual</t>
        </is>
      </c>
    </row>
    <row r="99">
      <c r="A99" t="inlineStr">
        <is>
          <t>PRB0085628</t>
        </is>
      </c>
      <c r="B99" t="inlineStr">
        <is>
          <t>P2</t>
        </is>
      </c>
      <c r="C99" t="inlineStr">
        <is>
          <t>New</t>
        </is>
      </c>
      <c r="E99" t="inlineStr">
        <is>
          <t>sgphmwvfk3</t>
        </is>
      </c>
      <c r="F99" t="inlineStr">
        <is>
          <t>Major Impact Service Disruption - Singapore printers error</t>
        </is>
      </c>
    </row>
    <row r="100">
      <c r="A100" t="inlineStr">
        <is>
          <t>PRB0085621</t>
        </is>
      </c>
      <c r="B100" t="inlineStr">
        <is>
          <t>P2</t>
        </is>
      </c>
      <c r="C100" t="inlineStr">
        <is>
          <t>RCA</t>
        </is>
      </c>
      <c r="E100" t="inlineStr">
        <is>
          <t>Issuance Replacements Service - E3-Production</t>
        </is>
      </c>
      <c r="F100" t="inlineStr">
        <is>
          <t>Major Impact Service Disruption - :siren5:IRS-CJ: Front-end function Failures in ReadDeliveryOptionsForCardIssuance.v1 with Error: Error is</t>
        </is>
      </c>
    </row>
    <row r="101">
      <c r="A101" t="inlineStr">
        <is>
          <t>PRB0085620</t>
        </is>
      </c>
      <c r="B101" t="inlineStr">
        <is>
          <t>P2</t>
        </is>
      </c>
      <c r="C101" t="inlineStr">
        <is>
          <t>Fix in Progress</t>
        </is>
      </c>
      <c r="E101" t="inlineStr">
        <is>
          <t>Mobile Service Layer - E3-Production</t>
        </is>
      </c>
      <c r="F101" t="inlineStr">
        <is>
          <t>Major Impact Service Disruption - MFA failures</t>
        </is>
      </c>
    </row>
    <row r="102">
      <c r="A102" t="inlineStr">
        <is>
          <t>PRB0085616</t>
        </is>
      </c>
      <c r="B102" t="inlineStr">
        <is>
          <t>P2</t>
        </is>
      </c>
      <c r="C102" t="inlineStr">
        <is>
          <t>New</t>
        </is>
      </c>
      <c r="E102" t="inlineStr">
        <is>
          <t>ES-INTL-GLOBAL-MERCHANT-BILL-PAYMENT - E3-Production</t>
        </is>
      </c>
      <c r="F102" t="inlineStr">
        <is>
          <t>Major Impact Service Disruption - GMBP web users outiside VPN get error message</t>
        </is>
      </c>
    </row>
    <row r="103">
      <c r="A103" t="inlineStr">
        <is>
          <t>PRB0085614</t>
        </is>
      </c>
      <c r="B103" t="inlineStr">
        <is>
          <t>P2</t>
        </is>
      </c>
      <c r="C103" t="inlineStr">
        <is>
          <t>RCA</t>
        </is>
      </c>
      <c r="E103" t="inlineStr">
        <is>
          <t>Global Acquisition - New Accounts On-Boarding Process Orchestration - E3-Production</t>
        </is>
      </c>
      <c r="F103" t="inlineStr">
        <is>
          <t>Major Impact Service Disruption - GO2 AutoMIMReq Instant Decision Impact</t>
        </is>
      </c>
    </row>
    <row r="104">
      <c r="A104" t="inlineStr">
        <is>
          <t>PRB0085613</t>
        </is>
      </c>
      <c r="B104" t="inlineStr">
        <is>
          <t>P2</t>
        </is>
      </c>
      <c r="C104" t="inlineStr">
        <is>
          <t>Assessed</t>
        </is>
      </c>
      <c r="D104" t="inlineStr">
        <is>
          <t>software/database</t>
        </is>
      </c>
      <c r="E104" t="inlineStr">
        <is>
          <t>lgpbdpv2305</t>
        </is>
      </c>
      <c r="F104" t="inlineStr">
        <is>
          <t>Marketing Application Failures due to CSRT M7 Primary Cluster Node Crash – 29th July</t>
        </is>
      </c>
    </row>
    <row r="105">
      <c r="A105" t="inlineStr">
        <is>
          <t>PRB0085612</t>
        </is>
      </c>
      <c r="B105" t="inlineStr">
        <is>
          <t>P2</t>
        </is>
      </c>
      <c r="C105" t="inlineStr">
        <is>
          <t>New</t>
        </is>
      </c>
      <c r="E105" t="inlineStr">
        <is>
          <t>Manage Your Customer Account (MYCA) - E3-Production</t>
        </is>
      </c>
      <c r="F105" t="inlineStr">
        <is>
          <t>Major Impact Service Disruption - dispute failures</t>
        </is>
      </c>
    </row>
    <row r="106">
      <c r="A106" t="inlineStr">
        <is>
          <t>PRB0085610</t>
        </is>
      </c>
      <c r="B106" t="inlineStr">
        <is>
          <t>P2</t>
        </is>
      </c>
      <c r="C106" t="inlineStr">
        <is>
          <t>RCA</t>
        </is>
      </c>
      <c r="D106" t="inlineStr">
        <is>
          <t>hardware/performance</t>
        </is>
      </c>
      <c r="E106" t="inlineStr">
        <is>
          <t>Mobile Service Layer - E3-Production</t>
        </is>
      </c>
      <c r="F106" t="inlineStr">
        <is>
          <t>Major Impact Service Disruption - Available offers failures</t>
        </is>
      </c>
    </row>
    <row r="107">
      <c r="A107" t="inlineStr">
        <is>
          <t>PRB0085609</t>
        </is>
      </c>
      <c r="B107" t="inlineStr">
        <is>
          <t>P2</t>
        </is>
      </c>
      <c r="C107" t="inlineStr">
        <is>
          <t>RCA</t>
        </is>
      </c>
      <c r="E107" t="inlineStr">
        <is>
          <t>ARRANGEMENT MANAGER - E3-Production</t>
        </is>
      </c>
      <c r="F107" t="inlineStr">
        <is>
          <t>Major Impact Service Disruption - Intermittent submit payment timeouts</t>
        </is>
      </c>
    </row>
    <row r="108">
      <c r="A108" t="inlineStr">
        <is>
          <t>PRB0085608</t>
        </is>
      </c>
      <c r="B108" t="inlineStr">
        <is>
          <t>P2</t>
        </is>
      </c>
      <c r="C108" t="inlineStr">
        <is>
          <t>New</t>
        </is>
      </c>
      <c r="D108" t="inlineStr">
        <is>
          <t>software/system</t>
        </is>
      </c>
      <c r="E108" t="inlineStr">
        <is>
          <t>srocentprs.intra.aexp.com</t>
        </is>
      </c>
      <c r="F108" t="inlineStr">
        <is>
          <t>MVS_DIPF: Service Globestar 242 Canada Acct board, txn post,Card Iss - ECC RECAP is running late. Will finish at 10:01 01/08/2025 GMT-05:00 instead of</t>
        </is>
      </c>
    </row>
    <row r="109">
      <c r="A109" t="inlineStr">
        <is>
          <t>PRB0085606</t>
        </is>
      </c>
      <c r="B109" t="inlineStr">
        <is>
          <t>P2</t>
        </is>
      </c>
      <c r="C109" t="inlineStr">
        <is>
          <t>Assessed</t>
        </is>
      </c>
      <c r="E109" t="inlineStr">
        <is>
          <t>Mobile Service Layer - E3-Production</t>
        </is>
      </c>
      <c r="F109" t="inlineStr">
        <is>
          <t>Major Impact Service Disruption - p2p split transaction timeouts</t>
        </is>
      </c>
    </row>
    <row r="110">
      <c r="A110" t="inlineStr">
        <is>
          <t>PRB0085598</t>
        </is>
      </c>
      <c r="B110" t="inlineStr">
        <is>
          <t>P2</t>
        </is>
      </c>
      <c r="C110" t="inlineStr">
        <is>
          <t>RCA</t>
        </is>
      </c>
      <c r="E110" t="inlineStr">
        <is>
          <t>Mobile Service Layer - E3-Production</t>
        </is>
      </c>
      <c r="F110" t="inlineStr">
        <is>
          <t>Major Impact Service Disruption - Amex connect failures</t>
        </is>
      </c>
    </row>
    <row r="111">
      <c r="A111" t="inlineStr">
        <is>
          <t>PRB0085594</t>
        </is>
      </c>
      <c r="B111" t="inlineStr">
        <is>
          <t>P2</t>
        </is>
      </c>
      <c r="C111" t="inlineStr">
        <is>
          <t>RCA</t>
        </is>
      </c>
      <c r="E111" t="inlineStr">
        <is>
          <t>Global Acquisition - New Accounts On-Boarding Process Orchestration - E3-Production</t>
        </is>
      </c>
      <c r="F111" t="inlineStr">
        <is>
          <t>Lucy Initialization Issue</t>
        </is>
      </c>
    </row>
    <row r="112">
      <c r="A112" t="inlineStr">
        <is>
          <t>PRB0085590</t>
        </is>
      </c>
      <c r="B112" t="inlineStr">
        <is>
          <t>P2</t>
        </is>
      </c>
      <c r="C112" t="inlineStr">
        <is>
          <t>Assessed</t>
        </is>
      </c>
      <c r="E112" t="inlineStr">
        <is>
          <t>resyos</t>
        </is>
      </c>
      <c r="F112" t="inlineStr">
        <is>
          <t>Major Impact Service Disruption - ResyOS users are intermittently unable to use ResyOS on their mobile devices</t>
        </is>
      </c>
    </row>
    <row r="113">
      <c r="A113" t="inlineStr">
        <is>
          <t>PRB0085588</t>
        </is>
      </c>
      <c r="B113" t="inlineStr">
        <is>
          <t>P2</t>
        </is>
      </c>
      <c r="C113" t="inlineStr">
        <is>
          <t>Fix in Progress</t>
        </is>
      </c>
      <c r="E113" t="inlineStr">
        <is>
          <t>Mobile Service Layer - E3-Production</t>
        </is>
      </c>
      <c r="F113" t="inlineStr">
        <is>
          <t>Major Impact Service Disruption - Multiple functions failures</t>
        </is>
      </c>
    </row>
    <row r="114">
      <c r="A114" t="inlineStr">
        <is>
          <t>PRB0085581</t>
        </is>
      </c>
      <c r="B114" t="inlineStr">
        <is>
          <t>P2</t>
        </is>
      </c>
      <c r="C114" t="inlineStr">
        <is>
          <t>Fix in Progress</t>
        </is>
      </c>
      <c r="E114" t="inlineStr">
        <is>
          <t>CHOREO - E3-Production</t>
        </is>
      </c>
      <c r="F114" t="inlineStr">
        <is>
          <t>Major Impact Service Disruption - Observing errors for  memactglobalsvc.aexp.com</t>
        </is>
      </c>
    </row>
    <row r="115">
      <c r="A115" t="inlineStr">
        <is>
          <t>PRB0085573</t>
        </is>
      </c>
      <c r="B115" t="inlineStr">
        <is>
          <t>P2</t>
        </is>
      </c>
      <c r="C115" t="inlineStr">
        <is>
          <t>Assessed</t>
        </is>
      </c>
      <c r="D115" t="inlineStr">
        <is>
          <t>software/system</t>
        </is>
      </c>
      <c r="E115" t="inlineStr">
        <is>
          <t>V2DG400</t>
        </is>
      </c>
      <c r="F115" t="inlineStr">
        <is>
          <t>Hierarchy Feed file sent from DTU to CPM includes BCAs without Hierarchy Control Accounts MCA/LCAs</t>
        </is>
      </c>
    </row>
    <row r="116">
      <c r="A116" t="inlineStr">
        <is>
          <t>PRB0085572</t>
        </is>
      </c>
      <c r="B116" t="inlineStr">
        <is>
          <t>P2</t>
        </is>
      </c>
      <c r="C116" t="inlineStr">
        <is>
          <t>Assessed</t>
        </is>
      </c>
      <c r="E116" t="inlineStr">
        <is>
          <t>icn-eusw1.americanexpress.com</t>
        </is>
      </c>
      <c r="F116" t="inlineStr">
        <is>
          <t>Revert or Update needed for recent logger changes https://jira.aexp.com/jira/browse/INTA-5610</t>
        </is>
      </c>
    </row>
    <row r="117">
      <c r="A117" t="inlineStr">
        <is>
          <t>PRB0085570</t>
        </is>
      </c>
      <c r="B117" t="inlineStr">
        <is>
          <t>P2</t>
        </is>
      </c>
      <c r="C117" t="inlineStr">
        <is>
          <t>RCA</t>
        </is>
      </c>
      <c r="D117" t="inlineStr">
        <is>
          <t>software/system</t>
        </is>
      </c>
      <c r="E117" t="inlineStr">
        <is>
          <t>EQJPR904</t>
        </is>
      </c>
      <c r="F117" t="inlineStr">
        <is>
          <t>JP CIC - FILE FROM BUREAU NOT RECEIVED AT GAM END</t>
        </is>
      </c>
    </row>
    <row r="118">
      <c r="A118" t="inlineStr">
        <is>
          <t>PRB0085568</t>
        </is>
      </c>
      <c r="B118" t="inlineStr">
        <is>
          <t>P2</t>
        </is>
      </c>
      <c r="C118" t="inlineStr">
        <is>
          <t>New</t>
        </is>
      </c>
      <c r="E118" t="inlineStr">
        <is>
          <t>dp-merchant-aets</t>
        </is>
      </c>
      <c r="F118" t="inlineStr">
        <is>
          <t>Major Impact Service Disruption - Observing high RT from IPC2 Couchbase for dp-merchant-aets</t>
        </is>
      </c>
    </row>
    <row r="119">
      <c r="A119" t="inlineStr">
        <is>
          <t>PRB0085566</t>
        </is>
      </c>
      <c r="B119" t="inlineStr">
        <is>
          <t>P2</t>
        </is>
      </c>
      <c r="C119" t="inlineStr">
        <is>
          <t>RCA</t>
        </is>
      </c>
      <c r="E119" t="inlineStr">
        <is>
          <t>Manage Your Customer Account (MYCA) - E3-Production</t>
        </is>
      </c>
      <c r="F119" t="inlineStr">
        <is>
          <t>Major Impact Service Disruption - card activation failure</t>
        </is>
      </c>
    </row>
    <row r="120">
      <c r="A120" t="inlineStr">
        <is>
          <t>PRB0085559</t>
        </is>
      </c>
      <c r="B120" t="inlineStr">
        <is>
          <t>P2</t>
        </is>
      </c>
      <c r="C120" t="inlineStr">
        <is>
          <t>Fix in Progress</t>
        </is>
      </c>
      <c r="E120" t="inlineStr">
        <is>
          <t>Mobile Service Layer - E3-Production</t>
        </is>
      </c>
      <c r="F120" t="inlineStr">
        <is>
          <t>Major Impact Service Disruption - Personal Saving  Failures</t>
        </is>
      </c>
    </row>
    <row r="121">
      <c r="A121" t="inlineStr">
        <is>
          <t>PRB0085544</t>
        </is>
      </c>
      <c r="B121" t="inlineStr">
        <is>
          <t>P2</t>
        </is>
      </c>
      <c r="C121" t="inlineStr">
        <is>
          <t>New</t>
        </is>
      </c>
      <c r="D121" t="inlineStr">
        <is>
          <t>software/system</t>
        </is>
      </c>
      <c r="E121" t="inlineStr">
        <is>
          <t>DIPC</t>
        </is>
      </c>
      <c r="F121" t="inlineStr">
        <is>
          <t>MVS_DIPS: Service Cocas - Hong Kong Batch cutoff - RECAP is running late. Will finish at 09:01 29/07/2025 GMT+10:00 instead of 09:00 29/07/2025 GMT+10</t>
        </is>
      </c>
    </row>
    <row r="122">
      <c r="A122" t="inlineStr">
        <is>
          <t>PRB0085540</t>
        </is>
      </c>
      <c r="B122" t="inlineStr">
        <is>
          <t>P2</t>
        </is>
      </c>
      <c r="C122" t="inlineStr">
        <is>
          <t>RCA</t>
        </is>
      </c>
      <c r="D122" t="inlineStr">
        <is>
          <t>software/os</t>
        </is>
      </c>
      <c r="E122" t="inlineStr">
        <is>
          <t>Manage Your Customer Account (MYCA) - E3-Production</t>
        </is>
      </c>
      <c r="F122" t="inlineStr">
        <is>
          <t>Major Impact Service Disruption - enroll offers failures</t>
        </is>
      </c>
    </row>
    <row r="123">
      <c r="A123" t="inlineStr">
        <is>
          <t>PRB0085537</t>
        </is>
      </c>
      <c r="B123" t="inlineStr">
        <is>
          <t>P2</t>
        </is>
      </c>
      <c r="C123" t="inlineStr">
        <is>
          <t>Assessed</t>
        </is>
      </c>
      <c r="E123" t="inlineStr">
        <is>
          <t>Mobile Service Layer - E3-Production</t>
        </is>
      </c>
      <c r="F123" t="inlineStr">
        <is>
          <t>Major Impact Service Disruption - enroll offers failures</t>
        </is>
      </c>
    </row>
    <row r="124">
      <c r="A124" t="inlineStr">
        <is>
          <t>PRB0085536</t>
        </is>
      </c>
      <c r="B124" t="inlineStr">
        <is>
          <t>P2</t>
        </is>
      </c>
      <c r="C124" t="inlineStr">
        <is>
          <t>Assessed</t>
        </is>
      </c>
      <c r="E124" t="inlineStr">
        <is>
          <t>Enterprise Communication Platform - E3-Production</t>
        </is>
      </c>
      <c r="F124" t="inlineStr">
        <is>
          <t>Raven-CRMD One Data function call latency</t>
        </is>
      </c>
    </row>
    <row r="125">
      <c r="A125" t="inlineStr">
        <is>
          <t>PRB0085527</t>
        </is>
      </c>
      <c r="B125" t="inlineStr">
        <is>
          <t>P2</t>
        </is>
      </c>
      <c r="C125" t="inlineStr">
        <is>
          <t>Assessed</t>
        </is>
      </c>
      <c r="E125" t="inlineStr">
        <is>
          <t>eCP PaaS - E3-Production</t>
        </is>
      </c>
      <c r="F125" t="inlineStr">
        <is>
          <t>Major Impact Service Disruption - DC Routing for Project:dp-tokenizationv3 and Service:dptokenizationv3</t>
        </is>
      </c>
    </row>
    <row r="126">
      <c r="A126" t="inlineStr">
        <is>
          <t>PRB0085525</t>
        </is>
      </c>
      <c r="B126" t="inlineStr">
        <is>
          <t>P2</t>
        </is>
      </c>
      <c r="C126" t="inlineStr">
        <is>
          <t>RCA</t>
        </is>
      </c>
      <c r="E126" t="inlineStr">
        <is>
          <t>Mobile Service Layer - E3-Production</t>
        </is>
      </c>
      <c r="F126" t="inlineStr">
        <is>
          <t>Major Impact Service Disruption - Observing failures for multiple functionalities</t>
        </is>
      </c>
    </row>
    <row r="127">
      <c r="A127" t="inlineStr">
        <is>
          <t>PRB0085513</t>
        </is>
      </c>
      <c r="B127" t="inlineStr">
        <is>
          <t>P2</t>
        </is>
      </c>
      <c r="C127" t="inlineStr">
        <is>
          <t>RCA</t>
        </is>
      </c>
      <c r="E127" t="inlineStr">
        <is>
          <t>Mobile Service Layer - E3-Production</t>
        </is>
      </c>
      <c r="F127" t="inlineStr">
        <is>
          <t>Major Impact Service Disruption - mexico payment failures</t>
        </is>
      </c>
    </row>
    <row r="128">
      <c r="A128" t="inlineStr">
        <is>
          <t>PRB0085512</t>
        </is>
      </c>
      <c r="B128" t="inlineStr">
        <is>
          <t>P2</t>
        </is>
      </c>
      <c r="C128" t="inlineStr">
        <is>
          <t>Assessed</t>
        </is>
      </c>
      <c r="E128" t="inlineStr">
        <is>
          <t>Mobile Service Layer - E3-Production</t>
        </is>
      </c>
      <c r="F128" t="inlineStr">
        <is>
          <t>Major Impact Service Disruption - chat eligibility timeouts</t>
        </is>
      </c>
    </row>
    <row r="129">
      <c r="A129" t="inlineStr">
        <is>
          <t>PRB0085499</t>
        </is>
      </c>
      <c r="B129" t="inlineStr">
        <is>
          <t>P2</t>
        </is>
      </c>
      <c r="C129" t="inlineStr">
        <is>
          <t>RCA</t>
        </is>
      </c>
      <c r="E129" t="inlineStr">
        <is>
          <t>Mobile Service Layer - E3-Production</t>
        </is>
      </c>
      <c r="F129" t="inlineStr">
        <is>
          <t>Major Impact Service Disruption - observing gift card failures</t>
        </is>
      </c>
    </row>
    <row r="130">
      <c r="A130" t="inlineStr">
        <is>
          <t>PRB0085494</t>
        </is>
      </c>
      <c r="B130" t="inlineStr">
        <is>
          <t>P2</t>
        </is>
      </c>
      <c r="C130" t="inlineStr">
        <is>
          <t>106</t>
        </is>
      </c>
      <c r="D130" t="inlineStr">
        <is>
          <t>software/business</t>
        </is>
      </c>
      <c r="E130" t="inlineStr">
        <is>
          <t>Mobile Service Layer - E3-Production</t>
        </is>
      </c>
      <c r="F130" t="inlineStr">
        <is>
          <t>Major Impact Service Disruption - DEBIT_CARD_STATUS  failures</t>
        </is>
      </c>
    </row>
    <row r="131">
      <c r="A131" t="inlineStr">
        <is>
          <t>PRB0085493</t>
        </is>
      </c>
      <c r="B131" t="inlineStr">
        <is>
          <t>P1</t>
        </is>
      </c>
      <c r="C131" t="inlineStr">
        <is>
          <t>RCA</t>
        </is>
      </c>
      <c r="E131" t="inlineStr">
        <is>
          <t>Intuitive Servicing Portal Ecosystem - E3-Production</t>
        </is>
      </c>
      <c r="F131" t="inlineStr">
        <is>
          <t>Major Impact Service Disruption - US CEN Mexico site states all CCPs (50) cannot connect to ISP. 19:39 US EDT start</t>
        </is>
      </c>
    </row>
    <row r="132">
      <c r="A132" t="inlineStr">
        <is>
          <t>PRB0085490</t>
        </is>
      </c>
      <c r="B132" t="inlineStr">
        <is>
          <t>P2</t>
        </is>
      </c>
      <c r="C132" t="inlineStr">
        <is>
          <t>New</t>
        </is>
      </c>
      <c r="E132" t="inlineStr">
        <is>
          <t>Authorization</t>
        </is>
      </c>
      <c r="F132" t="inlineStr">
        <is>
          <t>Major Impact Service Disruption - 2025-07-24 15:14:05.51624520250724 VISA ARGENTINA PayNet UNSCHEDULED HOST STANDIN</t>
        </is>
      </c>
    </row>
    <row r="133">
      <c r="A133" t="inlineStr">
        <is>
          <t>PRB0085477</t>
        </is>
      </c>
      <c r="B133" t="inlineStr">
        <is>
          <t>P2</t>
        </is>
      </c>
      <c r="C133" t="inlineStr">
        <is>
          <t>RCA</t>
        </is>
      </c>
      <c r="E133" t="inlineStr">
        <is>
          <t>Global Acquisition - New Accounts On-Boarding Process Orchestration - E3-Production</t>
        </is>
      </c>
      <c r="F133" t="inlineStr">
        <is>
          <t>Major Impact Service Disruption - GO2 France ROD 400 Bad Request Errors in GO2.</t>
        </is>
      </c>
    </row>
    <row r="134">
      <c r="A134" t="inlineStr">
        <is>
          <t>PRB0085472</t>
        </is>
      </c>
      <c r="B134" t="inlineStr">
        <is>
          <t>P2</t>
        </is>
      </c>
      <c r="C134" t="inlineStr">
        <is>
          <t>New</t>
        </is>
      </c>
      <c r="D134" t="inlineStr">
        <is>
          <t>software/business</t>
        </is>
      </c>
      <c r="E134" t="inlineStr">
        <is>
          <t>DIPA</t>
        </is>
      </c>
      <c r="F134" t="inlineStr">
        <is>
          <t xml:space="preserve">MVS_DIPF: Service TRIUMPH 301 Domestic Cache Refresh delivery - ECC RECAP is running late. Will finish at 12:01 23/07/2025 GMT-05:00 instead of 12:00 </t>
        </is>
      </c>
    </row>
    <row r="135">
      <c r="A135" t="inlineStr">
        <is>
          <t>PRB0085471</t>
        </is>
      </c>
      <c r="B135" t="inlineStr">
        <is>
          <t>P2</t>
        </is>
      </c>
      <c r="C135" t="inlineStr">
        <is>
          <t>New</t>
        </is>
      </c>
      <c r="D135" t="inlineStr">
        <is>
          <t>software/business</t>
        </is>
      </c>
      <c r="E135" t="inlineStr">
        <is>
          <t>DIPA</t>
        </is>
      </c>
      <c r="F135" t="inlineStr">
        <is>
          <t>MVS_WEST: Service GP-TC-FINANCE Alarms Reporting - RECAP is running late. Will finish at 07:02 23/07/2025 GMT-07:00 instead of 07:00 23/07/2025 GMT-07</t>
        </is>
      </c>
    </row>
    <row r="136">
      <c r="A136" t="inlineStr">
        <is>
          <t>PRB0085465</t>
        </is>
      </c>
      <c r="B136" t="inlineStr">
        <is>
          <t>P1</t>
        </is>
      </c>
      <c r="C136" t="inlineStr">
        <is>
          <t>Assessed</t>
        </is>
      </c>
      <c r="E136" t="inlineStr">
        <is>
          <t>Intuitive Servicing Portal Ecosystem - E3-Production</t>
        </is>
      </c>
      <c r="F136" t="inlineStr">
        <is>
          <t>Major Impact Service Disruption - CCPs reporting ISP is not loading data</t>
        </is>
      </c>
    </row>
    <row r="137">
      <c r="A137" t="inlineStr">
        <is>
          <t>PRB0085460</t>
        </is>
      </c>
      <c r="B137" t="inlineStr">
        <is>
          <t>P2</t>
        </is>
      </c>
      <c r="C137" t="inlineStr">
        <is>
          <t>Assessed</t>
        </is>
      </c>
      <c r="E137" t="inlineStr">
        <is>
          <t>DIPZ</t>
        </is>
      </c>
      <c r="F137" t="inlineStr">
        <is>
          <t>MVS_DIPF: Service TRIUMPH 199 Domestic Statementing file delivery - ECC RECAP is running late. Will finish at 09:00:50 23/07/2025 GMT-05:00 instead of</t>
        </is>
      </c>
    </row>
    <row r="138">
      <c r="A138" t="inlineStr">
        <is>
          <t>PRB0085459</t>
        </is>
      </c>
      <c r="B138" t="inlineStr">
        <is>
          <t>P2</t>
        </is>
      </c>
      <c r="C138" t="inlineStr">
        <is>
          <t>Fix in Progress</t>
        </is>
      </c>
      <c r="E138" t="inlineStr">
        <is>
          <t>Mobile Service Layer - E3-Production</t>
        </is>
      </c>
      <c r="F138" t="inlineStr">
        <is>
          <t>Major Impact Service Disruption - Money movement timeouts</t>
        </is>
      </c>
    </row>
    <row r="139">
      <c r="A139" t="inlineStr">
        <is>
          <t>PRB0085458</t>
        </is>
      </c>
      <c r="B139" t="inlineStr">
        <is>
          <t>P2</t>
        </is>
      </c>
      <c r="C139" t="inlineStr">
        <is>
          <t>RCA</t>
        </is>
      </c>
      <c r="E139" t="inlineStr">
        <is>
          <t>ARRANGEMENT MANAGER - E3-Production</t>
        </is>
      </c>
      <c r="F139" t="inlineStr">
        <is>
          <t>Major Impact Service Disruption - WCR AR - Posted transactions are not displayed for today</t>
        </is>
      </c>
    </row>
    <row r="140">
      <c r="A140" t="inlineStr">
        <is>
          <t>PRB0085456</t>
        </is>
      </c>
      <c r="B140" t="inlineStr">
        <is>
          <t>P2</t>
        </is>
      </c>
      <c r="C140" t="inlineStr">
        <is>
          <t>New</t>
        </is>
      </c>
      <c r="D140" t="inlineStr">
        <is>
          <t>software/business</t>
        </is>
      </c>
      <c r="E140" t="inlineStr">
        <is>
          <t>eprd-sd.ipc.us.aexp.com</t>
        </is>
      </c>
      <c r="F140" t="inlineStr">
        <is>
          <t>MVS_DIPZ: Service EBTA 388 United Kingdom PTMGB02 Billing and Statement production - ECC RECAP is running late. Will finish at 08:01 23/07/2025 GMT+00</t>
        </is>
      </c>
    </row>
    <row r="141">
      <c r="A141" t="inlineStr">
        <is>
          <t>PRB0085455</t>
        </is>
      </c>
      <c r="B141" t="inlineStr">
        <is>
          <t>P2</t>
        </is>
      </c>
      <c r="C141" t="inlineStr">
        <is>
          <t>New</t>
        </is>
      </c>
      <c r="D141" t="inlineStr">
        <is>
          <t>software/business</t>
        </is>
      </c>
      <c r="E141" t="inlineStr">
        <is>
          <t>DIPZ</t>
        </is>
      </c>
      <c r="F141" t="inlineStr">
        <is>
          <t>MVS_DIPZ: Service EBTA 390 Netherlands PTMNL02 Billing and Statement production - ECC RECAP is running late. Will finish at 08:01 23/07/2025 GMT+00:00</t>
        </is>
      </c>
    </row>
    <row r="142">
      <c r="A142" t="inlineStr">
        <is>
          <t>PRB0085454</t>
        </is>
      </c>
      <c r="B142" t="inlineStr">
        <is>
          <t>P2</t>
        </is>
      </c>
      <c r="C142" t="inlineStr">
        <is>
          <t>New</t>
        </is>
      </c>
      <c r="D142" t="inlineStr">
        <is>
          <t>software/business</t>
        </is>
      </c>
      <c r="E142" t="inlineStr">
        <is>
          <t>eprd-sd.ipc.us.aexp.com</t>
        </is>
      </c>
      <c r="F142" t="inlineStr">
        <is>
          <t>MVS_DIPZ: Service EBTA 392 Sweden PTMSE02 Billing and Statement production - ECC RECAP is running late. Will finish at 08:01 23/07/2025 GMT+00:00 inst</t>
        </is>
      </c>
    </row>
    <row r="143">
      <c r="A143" t="inlineStr">
        <is>
          <t>PRB0085453</t>
        </is>
      </c>
      <c r="B143" t="inlineStr">
        <is>
          <t>P2</t>
        </is>
      </c>
      <c r="C143" t="inlineStr">
        <is>
          <t>New</t>
        </is>
      </c>
      <c r="D143" t="inlineStr">
        <is>
          <t>software/business</t>
        </is>
      </c>
      <c r="E143" t="inlineStr">
        <is>
          <t>eprd-sd.ipc.us.aexp.com</t>
        </is>
      </c>
      <c r="F143" t="inlineStr">
        <is>
          <t>MVS_DIPZ: Service EBTA 383 Switzerland PTMCH02 Billing and Statement production - ECC RECAP is running late. Will finish at 08:01 23/07/2025 GMT+00:00</t>
        </is>
      </c>
    </row>
    <row r="144">
      <c r="A144" t="inlineStr">
        <is>
          <t>PRB0085452</t>
        </is>
      </c>
      <c r="B144" t="inlineStr">
        <is>
          <t>P2</t>
        </is>
      </c>
      <c r="C144" t="inlineStr">
        <is>
          <t>New</t>
        </is>
      </c>
      <c r="D144" t="inlineStr">
        <is>
          <t>software/business</t>
        </is>
      </c>
      <c r="E144" t="inlineStr">
        <is>
          <t>eprd-sd.ipc.us.aexp.com</t>
        </is>
      </c>
      <c r="F144" t="inlineStr">
        <is>
          <t>MVS_DIPZ: Service EBTA 382 Belgium PTMBE02 Billing and Statement production - ECC RECAP is running late. Will finish at 08:01 23/07/2025 GMT+00:00 ins</t>
        </is>
      </c>
    </row>
    <row r="145">
      <c r="A145" t="inlineStr">
        <is>
          <t>PRB0085451</t>
        </is>
      </c>
      <c r="B145" t="inlineStr">
        <is>
          <t>P2</t>
        </is>
      </c>
      <c r="C145" t="inlineStr">
        <is>
          <t>New</t>
        </is>
      </c>
      <c r="D145" t="inlineStr">
        <is>
          <t>software/business</t>
        </is>
      </c>
      <c r="E145" t="inlineStr">
        <is>
          <t>DIPZ</t>
        </is>
      </c>
      <c r="F145" t="inlineStr">
        <is>
          <t>MVS_DIPZ: Service EBTA 384 Germany PTMDE02 Billing and Statement production - ECC RECAP is running late. Will finish at 08:01 23/07/2025 GMT+00:00 ins</t>
        </is>
      </c>
    </row>
    <row r="146">
      <c r="A146" t="inlineStr">
        <is>
          <t>PRB0085450</t>
        </is>
      </c>
      <c r="B146" t="inlineStr">
        <is>
          <t>P2</t>
        </is>
      </c>
      <c r="C146" t="inlineStr">
        <is>
          <t>New</t>
        </is>
      </c>
      <c r="D146" t="inlineStr">
        <is>
          <t>software/business</t>
        </is>
      </c>
      <c r="E146" t="inlineStr">
        <is>
          <t>eprd-sd.ipc.us.aexp.com</t>
        </is>
      </c>
      <c r="F146" t="inlineStr">
        <is>
          <t>MVS_DIPZ: Service EBTA 334 EMEA PBT9902 Transaction and Reconciliation activities - ECC RECAP is running late. Will finish at 07:01 23/07/2025 GMT+00:</t>
        </is>
      </c>
    </row>
    <row r="147">
      <c r="A147" t="inlineStr">
        <is>
          <t>PRB0085449</t>
        </is>
      </c>
      <c r="B147" t="inlineStr">
        <is>
          <t>P2</t>
        </is>
      </c>
      <c r="C147" t="inlineStr">
        <is>
          <t>New</t>
        </is>
      </c>
      <c r="D147" t="inlineStr">
        <is>
          <t>software/business</t>
        </is>
      </c>
      <c r="E147" t="inlineStr">
        <is>
          <t>eprd-sd.ipc.us.aexp.com</t>
        </is>
      </c>
      <c r="F147" t="inlineStr">
        <is>
          <t>MVS_DIPZ: Service EBTA 391 Norway PTMNO02 Billing and Statement production - ECC RECAP is running late. Will finish at 08:01 23/07/2025 GMT+00:00 inst</t>
        </is>
      </c>
    </row>
    <row r="148">
      <c r="A148" t="inlineStr">
        <is>
          <t>PRB0085448</t>
        </is>
      </c>
      <c r="B148" t="inlineStr">
        <is>
          <t>P2</t>
        </is>
      </c>
      <c r="C148" t="inlineStr">
        <is>
          <t>New</t>
        </is>
      </c>
      <c r="D148" t="inlineStr">
        <is>
          <t>software/business</t>
        </is>
      </c>
      <c r="E148" t="inlineStr">
        <is>
          <t>eprd-sd.ipc.us.aexp.com</t>
        </is>
      </c>
      <c r="F148" t="inlineStr">
        <is>
          <t>MVS_DIPZ: Service EBTA 381 Austria PTMAT02 Billing and Statement production - ECC RECAP is running late. Will finish at 08:01 23/07/2025 GMT+00:00 ins</t>
        </is>
      </c>
    </row>
    <row r="149">
      <c r="A149" t="inlineStr">
        <is>
          <t>PRB0085446</t>
        </is>
      </c>
      <c r="B149" t="inlineStr">
        <is>
          <t>P2</t>
        </is>
      </c>
      <c r="C149" t="inlineStr">
        <is>
          <t>Fix in Progress</t>
        </is>
      </c>
      <c r="D149" t="inlineStr">
        <is>
          <t>software/install</t>
        </is>
      </c>
      <c r="E149" t="inlineStr">
        <is>
          <t>CTT - CUSTOMER TREATMENT TOOL - E3-Production</t>
        </is>
      </c>
      <c r="F149" t="inlineStr">
        <is>
          <t>Major Impact Service Disruption - CCP click on CTT to accept the MGM offer, the system stay on hold and at the end present the error message</t>
        </is>
      </c>
    </row>
    <row r="150">
      <c r="A150" t="inlineStr">
        <is>
          <t>PRB0085445</t>
        </is>
      </c>
      <c r="B150" t="inlineStr">
        <is>
          <t>P2</t>
        </is>
      </c>
      <c r="C150" t="inlineStr">
        <is>
          <t>RCA</t>
        </is>
      </c>
      <c r="E150" t="inlineStr">
        <is>
          <t>ARRANGEMENT MANAGER - E3-Production</t>
        </is>
      </c>
      <c r="F150" t="inlineStr">
        <is>
          <t>Major Impact Service Disruption - CEN ARG error message for financial adjustments, 13 CCPs staffed, Patriotismo site. An error was detected</t>
        </is>
      </c>
    </row>
    <row r="151">
      <c r="A151" t="inlineStr">
        <is>
          <t>PRB0085441</t>
        </is>
      </c>
      <c r="B151" t="inlineStr">
        <is>
          <t>P2</t>
        </is>
      </c>
      <c r="C151" t="inlineStr">
        <is>
          <t>Assessed</t>
        </is>
      </c>
      <c r="D151" t="inlineStr">
        <is>
          <t>software/error</t>
        </is>
      </c>
      <c r="E151" t="inlineStr">
        <is>
          <t>srCGpxPbCf/vJ7rVzF4ZXOKiRiZT9XwP5YkFHsuW</t>
        </is>
      </c>
      <c r="F151" t="inlineStr">
        <is>
          <t>MVS_DIPR: Service MNS - Argentina EOD Cutoff - RECAP is running late. Will finish at 02:00:40 23/07/2025 GMT-03:00 instead of 02:00:00 23/07/2025 GMT-</t>
        </is>
      </c>
    </row>
    <row r="152">
      <c r="A152" t="inlineStr">
        <is>
          <t>PRB0085440</t>
        </is>
      </c>
      <c r="B152" t="inlineStr">
        <is>
          <t>P2</t>
        </is>
      </c>
      <c r="C152" t="inlineStr">
        <is>
          <t>New</t>
        </is>
      </c>
      <c r="D152" t="inlineStr">
        <is>
          <t>software/error</t>
        </is>
      </c>
      <c r="E152" t="inlineStr">
        <is>
          <t>lprd-sd.ipc.us.aexp.com</t>
        </is>
      </c>
      <c r="F152" t="inlineStr">
        <is>
          <t>MVS_DIPR: Service MNS - Argentina Online Adjustments - RECAP is running late. Will finish at 02:01 23/07/2025 GMT-03:00 instead of 02:00 23/07/2025 GM</t>
        </is>
      </c>
    </row>
    <row r="153">
      <c r="A153" t="inlineStr">
        <is>
          <t>PRB0085438</t>
        </is>
      </c>
      <c r="B153" t="inlineStr">
        <is>
          <t>P2</t>
        </is>
      </c>
      <c r="C153" t="inlineStr">
        <is>
          <t>RCA</t>
        </is>
      </c>
      <c r="E153" t="inlineStr">
        <is>
          <t>Amex SRC - E3-Production</t>
        </is>
      </c>
      <c r="F153" t="inlineStr">
        <is>
          <t>Major Impact Service Disruption - failures for dp-authenticator in ipc2</t>
        </is>
      </c>
    </row>
    <row r="154">
      <c r="A154" t="inlineStr">
        <is>
          <t>PRB0085434</t>
        </is>
      </c>
      <c r="B154" t="inlineStr">
        <is>
          <t>P2</t>
        </is>
      </c>
      <c r="C154" t="inlineStr">
        <is>
          <t>RCA</t>
        </is>
      </c>
      <c r="E154" t="inlineStr">
        <is>
          <t>Digital Banking Platform - Business Checking</t>
        </is>
      </c>
      <c r="F154" t="inlineStr">
        <is>
          <t>Major Impact Service Disruption - BCA- multiple customers mobile check deposits are showing twice on customer view and also MBP BOUI</t>
        </is>
      </c>
    </row>
    <row r="155">
      <c r="A155" t="inlineStr">
        <is>
          <t>PRB0085433</t>
        </is>
      </c>
      <c r="B155" t="inlineStr">
        <is>
          <t>P2</t>
        </is>
      </c>
      <c r="C155" t="inlineStr">
        <is>
          <t>New</t>
        </is>
      </c>
      <c r="D155" t="inlineStr">
        <is>
          <t>software/business</t>
        </is>
      </c>
      <c r="E155" t="inlineStr">
        <is>
          <t>DIPB</t>
        </is>
      </c>
      <c r="F155" t="inlineStr">
        <is>
          <t>MVS_WEST: Service GP-TC-PAIDS Voucher check printing - RECAP is running late. Will finish at 10:01 22/07/2025 GMT-07:00 instead of 10:00 22/07/2025 GM</t>
        </is>
      </c>
    </row>
    <row r="156">
      <c r="A156" t="inlineStr">
        <is>
          <t>PRB0085432</t>
        </is>
      </c>
      <c r="B156" t="inlineStr">
        <is>
          <t>P2</t>
        </is>
      </c>
      <c r="C156" t="inlineStr">
        <is>
          <t>New</t>
        </is>
      </c>
      <c r="D156" t="inlineStr">
        <is>
          <t>software/business</t>
        </is>
      </c>
      <c r="E156" t="inlineStr">
        <is>
          <t>wroc.ipc.us.aexp.com</t>
        </is>
      </c>
      <c r="F156" t="inlineStr">
        <is>
          <t>MVS_WEST: Service GP-TC-FINANCE Alarms Reporting - RECAP is running late. Will finish at 07:01 22/07/2025 GMT-07:00 instead of 07:00 22/07/2025 GMT-07</t>
        </is>
      </c>
    </row>
    <row r="157">
      <c r="A157" t="inlineStr">
        <is>
          <t>PRB0085431</t>
        </is>
      </c>
      <c r="B157" t="inlineStr">
        <is>
          <t>P2</t>
        </is>
      </c>
      <c r="C157" t="inlineStr">
        <is>
          <t>New</t>
        </is>
      </c>
      <c r="D157" t="inlineStr">
        <is>
          <t>software/business</t>
        </is>
      </c>
      <c r="E157" t="inlineStr">
        <is>
          <t>wroc.ipc.us.aexp.com</t>
        </is>
      </c>
      <c r="F157" t="inlineStr">
        <is>
          <t>MVS_WEST: Service GP-TC-FINANCE Alarms Reporting - RECAP is running late. Will finish at 07:01 22/07/2025 GMT-07:00 instead of 07:00 22/07/2025 GMT-07</t>
        </is>
      </c>
    </row>
    <row r="158">
      <c r="A158" t="inlineStr">
        <is>
          <t>PRB0085426</t>
        </is>
      </c>
      <c r="B158" t="inlineStr">
        <is>
          <t>P2</t>
        </is>
      </c>
      <c r="C158" t="inlineStr">
        <is>
          <t>RCA</t>
        </is>
      </c>
      <c r="E158" t="inlineStr">
        <is>
          <t>Global Acquisition - New Accounts On-Boarding Process Orchestration - E3-Production</t>
        </is>
      </c>
      <c r="F158" t="inlineStr">
        <is>
          <t>TPDG Credit Pod Memory Leak</t>
        </is>
      </c>
    </row>
    <row r="159">
      <c r="A159" t="inlineStr">
        <is>
          <t>PRB0085420</t>
        </is>
      </c>
      <c r="B159" t="inlineStr">
        <is>
          <t>P2</t>
        </is>
      </c>
      <c r="C159" t="inlineStr">
        <is>
          <t>New</t>
        </is>
      </c>
      <c r="E159" t="inlineStr">
        <is>
          <t>Authorizations - E3-Production</t>
        </is>
      </c>
      <c r="F159" t="inlineStr">
        <is>
          <t>Major Impact Service Disruption - GMNTS | Auth | Amazon | NA | Lower than expected Approval Rate for Amex</t>
        </is>
      </c>
    </row>
    <row r="160">
      <c r="A160" t="inlineStr">
        <is>
          <t>PRB0085417</t>
        </is>
      </c>
      <c r="B160" t="inlineStr">
        <is>
          <t>P2</t>
        </is>
      </c>
      <c r="C160" t="inlineStr">
        <is>
          <t>Fix in Progress</t>
        </is>
      </c>
      <c r="E160" t="inlineStr">
        <is>
          <t>Digital Banking Platform - E3-Production</t>
        </is>
      </c>
      <c r="F160" t="inlineStr">
        <is>
          <t>Major Impact Service Disruption - Digital Banking 5XX Alerts - actioned by Mission ControlEvent Information: Digital_Banking_CJ_Pub_Channel_</t>
        </is>
      </c>
    </row>
    <row r="161">
      <c r="A161" t="inlineStr">
        <is>
          <t>PRB0085415</t>
        </is>
      </c>
      <c r="B161" t="inlineStr">
        <is>
          <t>P2</t>
        </is>
      </c>
      <c r="C161" t="inlineStr">
        <is>
          <t>RCA</t>
        </is>
      </c>
      <c r="E161" t="inlineStr">
        <is>
          <t>Mobile Service Layer - E3-Production</t>
        </is>
      </c>
      <c r="F161" t="inlineStr">
        <is>
          <t>Major Impact Service Disruption - Planit Failures</t>
        </is>
      </c>
    </row>
    <row r="162">
      <c r="A162" t="inlineStr">
        <is>
          <t>PRB0085409</t>
        </is>
      </c>
      <c r="B162" t="inlineStr">
        <is>
          <t>P2</t>
        </is>
      </c>
      <c r="C162" t="inlineStr">
        <is>
          <t>New</t>
        </is>
      </c>
      <c r="E162" t="inlineStr">
        <is>
          <t>Mobile Service Layer - E3-Production</t>
        </is>
      </c>
      <c r="F162" t="inlineStr">
        <is>
          <t>Major Impact Service Disruption - Spike in failures for /digitalcard/v1/encryptedData</t>
        </is>
      </c>
    </row>
    <row r="163">
      <c r="A163" t="inlineStr">
        <is>
          <t>PRB0085398</t>
        </is>
      </c>
      <c r="B163" t="inlineStr">
        <is>
          <t>P2</t>
        </is>
      </c>
      <c r="C163" t="inlineStr">
        <is>
          <t>New</t>
        </is>
      </c>
      <c r="D163" t="inlineStr">
        <is>
          <t>software/business</t>
        </is>
      </c>
      <c r="E163" t="inlineStr">
        <is>
          <t>CONNEX - WDE - E3-Production</t>
        </is>
      </c>
      <c r="F163" t="inlineStr">
        <is>
          <t>Corporate global business travel in WDE not working. Whenever we dial it, it is not ringing then after a minute it will disconnect - US CSN-Manila</t>
        </is>
      </c>
    </row>
    <row r="164">
      <c r="A164" t="inlineStr">
        <is>
          <t>PRB0085396</t>
        </is>
      </c>
      <c r="B164" t="inlineStr">
        <is>
          <t>P2</t>
        </is>
      </c>
      <c r="C164" t="inlineStr">
        <is>
          <t>Assessed</t>
        </is>
      </c>
      <c r="E164" t="inlineStr">
        <is>
          <t>FALCON - E3-Production</t>
        </is>
      </c>
      <c r="F164" t="inlineStr">
        <is>
          <t>Falcon E3- CRT Currency table lookup in FDM applications</t>
        </is>
      </c>
    </row>
    <row r="165">
      <c r="A165" t="inlineStr">
        <is>
          <t>PRB0085395</t>
        </is>
      </c>
      <c r="B165" t="inlineStr">
        <is>
          <t>P2</t>
        </is>
      </c>
      <c r="C165" t="inlineStr">
        <is>
          <t>Assessed</t>
        </is>
      </c>
      <c r="D165" t="inlineStr">
        <is>
          <t>software/system</t>
        </is>
      </c>
      <c r="E165" t="inlineStr">
        <is>
          <t>srocentprs.intra.aexp.com</t>
        </is>
      </c>
      <c r="F165" t="inlineStr">
        <is>
          <t>MVS_DIPF: Service TRIUMPH 301 Domestic Cache Refresh delivery - ECC RECAP is running late. Will finish at 12:00:50 20/07/2025 GMT-05:00 instead of 12:</t>
        </is>
      </c>
    </row>
    <row r="166">
      <c r="A166" t="inlineStr">
        <is>
          <t>PRB0085394</t>
        </is>
      </c>
      <c r="B166" t="inlineStr">
        <is>
          <t>P2</t>
        </is>
      </c>
      <c r="C166" t="inlineStr">
        <is>
          <t>New</t>
        </is>
      </c>
      <c r="E166" t="inlineStr">
        <is>
          <t>srocdb2zai.aexp.com</t>
        </is>
      </c>
      <c r="F166" t="inlineStr">
        <is>
          <t>MVS_DIPZ: Service EBTA 334 EMEA PBT9906 Transaction and Reconciliation activities - ECC RECAP is running late. Will finish at 07:01 20/07/2025 GMT+00:</t>
        </is>
      </c>
    </row>
    <row r="167">
      <c r="A167" t="inlineStr">
        <is>
          <t>PRB0085393</t>
        </is>
      </c>
      <c r="B167" t="inlineStr">
        <is>
          <t>P1</t>
        </is>
      </c>
      <c r="C167" t="inlineStr">
        <is>
          <t>Assessed</t>
        </is>
      </c>
      <c r="E167" t="inlineStr">
        <is>
          <t>Digital Acquisitions Card Shop - E3-Production</t>
        </is>
      </c>
      <c r="F167" t="inlineStr">
        <is>
          <t>Major Impact Service Disruption - Card Members  encountering an error when attempting to shop for Cards.</t>
        </is>
      </c>
    </row>
    <row r="168">
      <c r="A168" t="inlineStr">
        <is>
          <t>PRB0085392</t>
        </is>
      </c>
      <c r="B168" t="inlineStr">
        <is>
          <t>P2</t>
        </is>
      </c>
      <c r="C168" t="inlineStr">
        <is>
          <t>Assessed</t>
        </is>
      </c>
      <c r="E168" t="inlineStr">
        <is>
          <t>sroczowe.aexp.com</t>
        </is>
      </c>
      <c r="F168" t="inlineStr">
        <is>
          <t>MVS_DIPF: Service TRIUMPH 301 Domestic Cache Refresh delivery - ECC RECAP is running late. Will finish at 12:00:20 19/07/2025 GMT-05:00 instead of 12:</t>
        </is>
      </c>
    </row>
    <row r="169">
      <c r="A169" t="inlineStr">
        <is>
          <t>PRB0085389</t>
        </is>
      </c>
      <c r="B169" t="inlineStr">
        <is>
          <t>P2</t>
        </is>
      </c>
      <c r="C169" t="inlineStr">
        <is>
          <t>106</t>
        </is>
      </c>
      <c r="D169" t="inlineStr">
        <is>
          <t>software/business</t>
        </is>
      </c>
      <c r="E169" t="inlineStr">
        <is>
          <t>Manage Your Customer Account (MYCA) - E3-Production</t>
        </is>
      </c>
      <c r="F169" t="inlineStr">
        <is>
          <t>Major Impact Service Disruption - ReadFundingInstrumentsForAccounts.v1 failures</t>
        </is>
      </c>
    </row>
    <row r="170">
      <c r="A170" t="inlineStr">
        <is>
          <t>PRB0085387</t>
        </is>
      </c>
      <c r="B170" t="inlineStr">
        <is>
          <t>P2</t>
        </is>
      </c>
      <c r="C170" t="inlineStr">
        <is>
          <t>RCA</t>
        </is>
      </c>
      <c r="E170" t="inlineStr">
        <is>
          <t>Intuitive Servicing Portal Ecosystem - E3-Production</t>
        </is>
      </c>
      <c r="F170" t="inlineStr">
        <is>
          <t>Major Impact Service Disruption - UCID issue - CCP’s unable to pull up bal. summary, getting error too for credit limit increase requests</t>
        </is>
      </c>
    </row>
    <row r="171">
      <c r="A171" t="inlineStr">
        <is>
          <t>PRB0085385</t>
        </is>
      </c>
      <c r="B171" t="inlineStr">
        <is>
          <t>P2</t>
        </is>
      </c>
      <c r="C171" t="inlineStr">
        <is>
          <t>Assessed</t>
        </is>
      </c>
      <c r="D171" t="inlineStr">
        <is>
          <t>software/business</t>
        </is>
      </c>
      <c r="E171" t="inlineStr">
        <is>
          <t>Workspace (Workspace Desktop Edition)</t>
        </is>
      </c>
      <c r="F171" t="inlineStr">
        <is>
          <t>WDE - There is an ongoing bridge for India CEN %26 CSN as CCP and Card Member cannot hear other</t>
        </is>
      </c>
    </row>
    <row r="172">
      <c r="A172" t="inlineStr">
        <is>
          <t>PRB0085380</t>
        </is>
      </c>
      <c r="B172" t="inlineStr">
        <is>
          <t>P2</t>
        </is>
      </c>
      <c r="C172" t="inlineStr">
        <is>
          <t>RCA</t>
        </is>
      </c>
      <c r="E172" t="inlineStr">
        <is>
          <t>CT - AGENT - CASES AND EVENTS - E3-Production</t>
        </is>
      </c>
      <c r="F172" t="inlineStr">
        <is>
          <t>Major Impact Service Disruption - TCCB-TCP: Windows Classic: -US TLS is complaining there OPUS is giving error</t>
        </is>
      </c>
    </row>
    <row r="173">
      <c r="A173" t="inlineStr">
        <is>
          <t>PRB0085375</t>
        </is>
      </c>
      <c r="B173" t="inlineStr">
        <is>
          <t>P2</t>
        </is>
      </c>
      <c r="C173" t="inlineStr">
        <is>
          <t>RCA</t>
        </is>
      </c>
      <c r="E173" t="inlineStr">
        <is>
          <t>FALCON - E3-Production</t>
        </is>
      </c>
      <c r="F173" t="inlineStr">
        <is>
          <t>CM being purged and in the same/next month sent the Acct Dtl for those Purged accounts to FALCON</t>
        </is>
      </c>
    </row>
    <row r="174">
      <c r="A174" t="inlineStr">
        <is>
          <t>PRB0085374</t>
        </is>
      </c>
      <c r="B174" t="inlineStr">
        <is>
          <t>P2</t>
        </is>
      </c>
      <c r="C174" t="inlineStr">
        <is>
          <t>Assessed</t>
        </is>
      </c>
      <c r="E174" t="inlineStr">
        <is>
          <t>Mobile Service Layer - E3-Production</t>
        </is>
      </c>
      <c r="F174" t="inlineStr">
        <is>
          <t>Major Impact Service Disruption - Spike in failures for /devicebinding/v1/agent</t>
        </is>
      </c>
    </row>
    <row r="175">
      <c r="A175" t="inlineStr">
        <is>
          <t>PRB0085365</t>
        </is>
      </c>
      <c r="B175" t="inlineStr">
        <is>
          <t>P2</t>
        </is>
      </c>
      <c r="C175" t="inlineStr">
        <is>
          <t>RCA</t>
        </is>
      </c>
      <c r="D175" t="inlineStr">
        <is>
          <t>software/system</t>
        </is>
      </c>
      <c r="E175" t="inlineStr">
        <is>
          <t>Q9USD597</t>
        </is>
      </c>
      <c r="F175" t="inlineStr">
        <is>
          <t>Q9USD597 ORDERID=2P5OW PS030A JS002 U0086 AMXW</t>
        </is>
      </c>
    </row>
    <row r="176">
      <c r="A176" t="inlineStr">
        <is>
          <t>PRB0085354</t>
        </is>
      </c>
      <c r="B176" t="inlineStr">
        <is>
          <t>P2</t>
        </is>
      </c>
      <c r="C176" t="inlineStr">
        <is>
          <t>RCA</t>
        </is>
      </c>
      <c r="E176" t="inlineStr">
        <is>
          <t>TPIACDB05_POSTGRES</t>
        </is>
      </c>
      <c r="F176" t="inlineStr">
        <is>
          <t>Major Impact Service Disruption - Need support from DBO -  tpiacdb05.igdha2.aexp.com</t>
        </is>
      </c>
    </row>
    <row r="177">
      <c r="A177" t="inlineStr">
        <is>
          <t>PRB0085349</t>
        </is>
      </c>
      <c r="B177" t="inlineStr">
        <is>
          <t>P2</t>
        </is>
      </c>
      <c r="C177" t="inlineStr">
        <is>
          <t>RCA</t>
        </is>
      </c>
      <c r="E177" t="inlineStr">
        <is>
          <t>Intl Digital Existing Customer Application - E3-Production</t>
        </is>
      </c>
      <c r="F177" t="inlineStr">
        <is>
          <t>Major Impact Service Disruption - Germany IBAN calls not working - Blocking customers</t>
        </is>
      </c>
    </row>
    <row r="178">
      <c r="A178" t="inlineStr">
        <is>
          <t>PRB0085347</t>
        </is>
      </c>
      <c r="B178" t="inlineStr">
        <is>
          <t>P2</t>
        </is>
      </c>
      <c r="C178" t="inlineStr">
        <is>
          <t>RCA</t>
        </is>
      </c>
      <c r="E178" t="inlineStr">
        <is>
          <t>Global Acquisition - New Accounts On-Boarding Process Orchestration - E3-Production</t>
        </is>
      </c>
      <c r="F178" t="inlineStr">
        <is>
          <t>Major Impact Service Disruption - GO2 AutoMIMReq Instant Decision Impact</t>
        </is>
      </c>
    </row>
    <row r="179">
      <c r="A179" t="inlineStr">
        <is>
          <t>PRB0085345</t>
        </is>
      </c>
      <c r="B179" t="inlineStr">
        <is>
          <t>P2</t>
        </is>
      </c>
      <c r="C179" t="inlineStr">
        <is>
          <t>New</t>
        </is>
      </c>
      <c r="E179" t="inlineStr">
        <is>
          <t>Payment Network - Transaction Processing - E3-Production</t>
        </is>
      </c>
      <c r="F179" t="inlineStr">
        <is>
          <t>Major Impact Service Disruption - GNS | Vietcom Bank | ORG ID-200 | Paynet | Multiple retransmits seen for the partner Vietcom_Bk_VN_ACQ1_PHX_POS</t>
        </is>
      </c>
    </row>
    <row r="180">
      <c r="A180" t="inlineStr">
        <is>
          <t>PRB0085344</t>
        </is>
      </c>
      <c r="B180" t="inlineStr">
        <is>
          <t>P2</t>
        </is>
      </c>
      <c r="C180" t="inlineStr">
        <is>
          <t>Assessed</t>
        </is>
      </c>
      <c r="E180" t="inlineStr">
        <is>
          <t>GLOBAL MERCHANT DATA LAYER - FINANCIAL - E3-Production</t>
        </is>
      </c>
      <c r="F180" t="inlineStr">
        <is>
          <t>Major Impact Service Disruption - Observing  Cassandra write time out exceptions for SOC Cluster nodes</t>
        </is>
      </c>
    </row>
    <row r="181">
      <c r="A181" t="inlineStr">
        <is>
          <t>PRB0085331</t>
        </is>
      </c>
      <c r="B181" t="inlineStr">
        <is>
          <t>P2</t>
        </is>
      </c>
      <c r="C181" t="inlineStr">
        <is>
          <t>Assessed</t>
        </is>
      </c>
      <c r="E181" t="inlineStr">
        <is>
          <t>Global Personalization - E3-Production</t>
        </is>
      </c>
      <c r="F181" t="inlineStr">
        <is>
          <t>Major Impact Service Disruption - Observing Hystrix errors from 7:56 PM MST</t>
        </is>
      </c>
    </row>
    <row r="182">
      <c r="A182" t="inlineStr">
        <is>
          <t>PRB0085326</t>
        </is>
      </c>
      <c r="B182" t="inlineStr">
        <is>
          <t>P2</t>
        </is>
      </c>
      <c r="C182" t="inlineStr">
        <is>
          <t>RCA</t>
        </is>
      </c>
      <c r="E182" t="inlineStr">
        <is>
          <t>Manage Your Customer Account (MYCA) - E3-Production</t>
        </is>
      </c>
      <c r="F182" t="inlineStr">
        <is>
          <t>Major Impact Service Disruption - UpdateAccountLimits.v1</t>
        </is>
      </c>
    </row>
    <row r="183">
      <c r="A183" t="inlineStr">
        <is>
          <t>PRB0085325</t>
        </is>
      </c>
      <c r="B183" t="inlineStr">
        <is>
          <t>P2</t>
        </is>
      </c>
      <c r="C183" t="inlineStr">
        <is>
          <t>Assessed</t>
        </is>
      </c>
      <c r="E183" t="inlineStr">
        <is>
          <t>Global Issuance Platform - E3-Production</t>
        </is>
      </c>
      <c r="F183" t="inlineStr">
        <is>
          <t>Major Impact Service Disruption - Super Urgent: **Daily Records are now impacted**  &lt;JP RW is currently held by GIP due to FFC&gt; Placeholder:</t>
        </is>
      </c>
    </row>
    <row r="184">
      <c r="A184" t="inlineStr">
        <is>
          <t>PRB0085324</t>
        </is>
      </c>
      <c r="B184" t="inlineStr">
        <is>
          <t>P2</t>
        </is>
      </c>
      <c r="C184" t="inlineStr">
        <is>
          <t>Assessed</t>
        </is>
      </c>
      <c r="E184" t="inlineStr">
        <is>
          <t>Mobile Service Layer - E3-Production</t>
        </is>
      </c>
      <c r="F184" t="inlineStr">
        <is>
          <t>Major Impact Service Disruption - Offers failures</t>
        </is>
      </c>
    </row>
    <row r="185">
      <c r="A185" t="inlineStr">
        <is>
          <t>PRB0085323</t>
        </is>
      </c>
      <c r="B185" t="inlineStr">
        <is>
          <t>P2</t>
        </is>
      </c>
      <c r="C185" t="inlineStr">
        <is>
          <t>106</t>
        </is>
      </c>
      <c r="D185" t="inlineStr">
        <is>
          <t>software/business</t>
        </is>
      </c>
      <c r="E185" t="inlineStr">
        <is>
          <t>Manage Your Customer Account (MYCA) - E3-Production</t>
        </is>
      </c>
      <c r="F185" t="inlineStr">
        <is>
          <t>Major Impact Service Disruption -   UpdateMemberNameForAccounts.v1 failures</t>
        </is>
      </c>
    </row>
    <row r="186">
      <c r="A186" t="inlineStr">
        <is>
          <t>PRB0085322</t>
        </is>
      </c>
      <c r="B186" t="inlineStr">
        <is>
          <t>P2</t>
        </is>
      </c>
      <c r="C186" t="inlineStr">
        <is>
          <t>New</t>
        </is>
      </c>
      <c r="D186" t="inlineStr">
        <is>
          <t>software/business</t>
        </is>
      </c>
      <c r="E186" t="inlineStr">
        <is>
          <t>DIPZ</t>
        </is>
      </c>
      <c r="F186" t="inlineStr">
        <is>
          <t>MVS_DIPZ: Service TMS - @WORK - BILLED FEED - Cycle4 - Switzerland - RECAP is running late. Will finish at 08:00:40 15/07/2025 GMT+00:00 instead of 08</t>
        </is>
      </c>
    </row>
    <row r="187">
      <c r="A187" t="inlineStr">
        <is>
          <t>PRB0085312</t>
        </is>
      </c>
      <c r="B187" t="inlineStr">
        <is>
          <t>P2</t>
        </is>
      </c>
      <c r="C187" t="inlineStr">
        <is>
          <t>Assessed</t>
        </is>
      </c>
      <c r="E187" t="inlineStr">
        <is>
          <t>Mobile Service Layer - E3-Production</t>
        </is>
      </c>
      <c r="F187" t="inlineStr">
        <is>
          <t>PRB0085312 MIM 109134 - Major Impact Service Disruption - Point Transfer failures</t>
        </is>
      </c>
    </row>
    <row r="188">
      <c r="A188" t="inlineStr">
        <is>
          <t>PRB0085305</t>
        </is>
      </c>
      <c r="B188" t="inlineStr">
        <is>
          <t>P2</t>
        </is>
      </c>
      <c r="C188" t="inlineStr">
        <is>
          <t>New</t>
        </is>
      </c>
      <c r="F188" t="inlineStr">
        <is>
          <t>Major Impact Service Disruption - Go2 // Unify // Application Issues</t>
        </is>
      </c>
    </row>
    <row r="189">
      <c r="A189" t="inlineStr">
        <is>
          <t>PRB0085299</t>
        </is>
      </c>
      <c r="B189" t="inlineStr">
        <is>
          <t>P2</t>
        </is>
      </c>
      <c r="C189" t="inlineStr">
        <is>
          <t>Assessed</t>
        </is>
      </c>
      <c r="E189" t="inlineStr">
        <is>
          <t>FALCON - E3-Production</t>
        </is>
      </c>
      <c r="F189" t="inlineStr">
        <is>
          <t>FALCON job failed for FIS (BCA/CCA), due to a SFT issue in the Customer Control feed for business date: 06/20.</t>
        </is>
      </c>
    </row>
    <row r="190">
      <c r="A190" t="inlineStr">
        <is>
          <t>PRB0085292</t>
        </is>
      </c>
      <c r="B190" t="inlineStr">
        <is>
          <t>P2</t>
        </is>
      </c>
      <c r="C190" t="inlineStr">
        <is>
          <t>New</t>
        </is>
      </c>
      <c r="E190" t="inlineStr">
        <is>
          <t>eCP PaaS - E3-Production</t>
        </is>
      </c>
      <c r="F190" t="inlineStr">
        <is>
          <t>Major Impact Service Disruption - Wallets_ApplePay_Critical_API_Failures_and_Availability_loss_crossed_thresholds</t>
        </is>
      </c>
    </row>
    <row r="191">
      <c r="A191" t="inlineStr">
        <is>
          <t>PRB0085282</t>
        </is>
      </c>
      <c r="B191" t="inlineStr">
        <is>
          <t>P2</t>
        </is>
      </c>
      <c r="C191" t="inlineStr">
        <is>
          <t>Fix in Progress</t>
        </is>
      </c>
      <c r="E191" t="inlineStr">
        <is>
          <t>Manage Your Customer Account (MYCA) - E3-Production</t>
        </is>
      </c>
      <c r="F191" t="inlineStr">
        <is>
          <t>Major Impact Service Disruption - CreateBankingMoneyTransfer.v3</t>
        </is>
      </c>
    </row>
    <row r="192">
      <c r="A192" t="inlineStr">
        <is>
          <t>PRB0085281</t>
        </is>
      </c>
      <c r="B192" t="inlineStr">
        <is>
          <t>P2</t>
        </is>
      </c>
      <c r="C192" t="inlineStr">
        <is>
          <t>New</t>
        </is>
      </c>
      <c r="D192" t="inlineStr">
        <is>
          <t>cloud management/access</t>
        </is>
      </c>
      <c r="E192" t="inlineStr">
        <is>
          <t>NGBD - Lumi Data Movement - E3-Production</t>
        </is>
      </c>
      <c r="F192" t="inlineStr">
        <is>
          <t>Data parsing errors in Lumi data flow</t>
        </is>
      </c>
    </row>
    <row r="193">
      <c r="A193" t="inlineStr">
        <is>
          <t>PRB0085280</t>
        </is>
      </c>
      <c r="B193" t="inlineStr">
        <is>
          <t>P2</t>
        </is>
      </c>
      <c r="C193" t="inlineStr">
        <is>
          <t>New</t>
        </is>
      </c>
      <c r="D193" t="inlineStr">
        <is>
          <t>software/database</t>
        </is>
      </c>
      <c r="E193" t="inlineStr">
        <is>
          <t>NGBD - Lumi Data Movement - E3-Production</t>
        </is>
      </c>
      <c r="F193" t="inlineStr">
        <is>
          <t>Wiresafe online changes</t>
        </is>
      </c>
    </row>
    <row r="194">
      <c r="A194" t="inlineStr">
        <is>
          <t>PRB0085278</t>
        </is>
      </c>
      <c r="B194" t="inlineStr">
        <is>
          <t>P2</t>
        </is>
      </c>
      <c r="C194" t="inlineStr">
        <is>
          <t>Assessed</t>
        </is>
      </c>
      <c r="E194" t="inlineStr">
        <is>
          <t>Loyalty Burn Manager - E3-Production</t>
        </is>
      </c>
      <c r="F194" t="inlineStr">
        <is>
          <t>MIM 109114 - PRB0085278 - Major Impact Service Disruption - No Traffic for Eligibility - Paypal Partner</t>
        </is>
      </c>
    </row>
    <row r="195">
      <c r="A195" t="inlineStr">
        <is>
          <t>PRB0085277</t>
        </is>
      </c>
      <c r="B195" t="inlineStr">
        <is>
          <t>P2</t>
        </is>
      </c>
      <c r="C195" t="inlineStr">
        <is>
          <t>New</t>
        </is>
      </c>
      <c r="E195" t="inlineStr">
        <is>
          <t>Mobile Service Layer - E3-Production</t>
        </is>
      </c>
      <c r="F195" t="inlineStr">
        <is>
          <t>Major Impact Service Disruption - CreateOneTimePasscodeDelivery.v1 Failures</t>
        </is>
      </c>
    </row>
    <row r="196">
      <c r="A196" t="inlineStr">
        <is>
          <t>PRB0085273</t>
        </is>
      </c>
      <c r="B196" t="inlineStr">
        <is>
          <t>P2</t>
        </is>
      </c>
      <c r="C196" t="inlineStr">
        <is>
          <t>RCA</t>
        </is>
      </c>
      <c r="E196" t="inlineStr">
        <is>
          <t>Mobile Service Layer - E3-Production</t>
        </is>
      </c>
      <c r="F196" t="inlineStr">
        <is>
          <t>Major Impact Service Disruption - Spike in failures for banking functionalities</t>
        </is>
      </c>
    </row>
    <row r="197">
      <c r="A197" t="inlineStr">
        <is>
          <t>PRB0085271</t>
        </is>
      </c>
      <c r="B197" t="inlineStr">
        <is>
          <t>P2</t>
        </is>
      </c>
      <c r="C197" t="inlineStr">
        <is>
          <t>RCA</t>
        </is>
      </c>
      <c r="D197" t="inlineStr">
        <is>
          <t>process/documentation</t>
        </is>
      </c>
      <c r="E197" t="inlineStr">
        <is>
          <t>lppza483.gso.aexp.com</t>
        </is>
      </c>
      <c r="F197" t="inlineStr">
        <is>
          <t>low disk space on /appl/gdpd123 in GMS servers (LPPZA483:LPPZA484)</t>
        </is>
      </c>
    </row>
    <row r="198">
      <c r="A198" t="inlineStr">
        <is>
          <t>PRB0085270</t>
        </is>
      </c>
      <c r="B198" t="inlineStr">
        <is>
          <t>P2</t>
        </is>
      </c>
      <c r="C198" t="inlineStr">
        <is>
          <t>Assessed</t>
        </is>
      </c>
      <c r="E198" t="inlineStr">
        <is>
          <t>Mobile Service Layer - E3-Production</t>
        </is>
      </c>
      <c r="F198" t="inlineStr">
        <is>
          <t>Major Impact Service Disruption - Spike in failures for /offers/v3/available</t>
        </is>
      </c>
    </row>
    <row r="199">
      <c r="A199" t="inlineStr">
        <is>
          <t>PRB0085269</t>
        </is>
      </c>
      <c r="B199" t="inlineStr">
        <is>
          <t>P2</t>
        </is>
      </c>
      <c r="C199" t="inlineStr">
        <is>
          <t>Assessed</t>
        </is>
      </c>
      <c r="E199" t="inlineStr">
        <is>
          <t>RKDABR01</t>
        </is>
      </c>
      <c r="F199" t="inlineStr">
        <is>
          <t>Major Impact Service Disruption - RKDABR01 ORDERID=LINOW ABARS001 STEP030 U0999 AMXP</t>
        </is>
      </c>
    </row>
    <row r="200">
      <c r="A200" t="inlineStr">
        <is>
          <t>PRB0085261</t>
        </is>
      </c>
      <c r="B200" t="inlineStr">
        <is>
          <t>P2</t>
        </is>
      </c>
      <c r="C200" t="inlineStr">
        <is>
          <t>Fix in Progress</t>
        </is>
      </c>
      <c r="E200" t="inlineStr">
        <is>
          <t>Manage Your Customer Account (MYCA) - E3-Production</t>
        </is>
      </c>
      <c r="F200" t="inlineStr">
        <is>
          <t>Major Impact Service Disruption - CreateBankingMoneyTransfer.v3</t>
        </is>
      </c>
    </row>
    <row r="201">
      <c r="A201" t="inlineStr">
        <is>
          <t>PRB0085259</t>
        </is>
      </c>
      <c r="B201" t="inlineStr">
        <is>
          <t>P2</t>
        </is>
      </c>
      <c r="C201" t="inlineStr">
        <is>
          <t>New</t>
        </is>
      </c>
      <c r="D201" t="inlineStr">
        <is>
          <t>software/business</t>
        </is>
      </c>
      <c r="E201" t="inlineStr">
        <is>
          <t>eprd-sd.ipc.us.aexp.com</t>
        </is>
      </c>
      <c r="F201" t="inlineStr">
        <is>
          <t>MVS_DIPZ: Service TMS - @WORK - BILLED FEED - Cycle3 - Norway - RECAP is running late. Will finish at 08:00:30 11/07/2025 GMT+00:00 instead of 08:00:0</t>
        </is>
      </c>
    </row>
    <row r="202">
      <c r="A202" t="inlineStr">
        <is>
          <t>PRB0085245</t>
        </is>
      </c>
      <c r="B202" t="inlineStr">
        <is>
          <t>P2</t>
        </is>
      </c>
      <c r="C202" t="inlineStr">
        <is>
          <t>Assessed</t>
        </is>
      </c>
      <c r="E202" t="inlineStr">
        <is>
          <t>Manage Your Customer Account (MYCA) - E3-Production</t>
        </is>
      </c>
      <c r="F202" t="inlineStr">
        <is>
          <t>Major Impact Service Disruption - Offer enrollment failures</t>
        </is>
      </c>
    </row>
    <row r="203">
      <c r="A203" t="inlineStr">
        <is>
          <t>PRB0085244</t>
        </is>
      </c>
      <c r="B203" t="inlineStr">
        <is>
          <t>P2</t>
        </is>
      </c>
      <c r="C203" t="inlineStr">
        <is>
          <t>RCA</t>
        </is>
      </c>
      <c r="D203" t="inlineStr">
        <is>
          <t>software/business</t>
        </is>
      </c>
      <c r="E203" t="inlineStr">
        <is>
          <t>The American Express Token Service - E3-Production</t>
        </is>
      </c>
      <c r="F203" t="inlineStr">
        <is>
          <t>dp-merchant purchase Token API failures</t>
        </is>
      </c>
    </row>
    <row r="204">
      <c r="A204" t="inlineStr">
        <is>
          <t>PRB0085241</t>
        </is>
      </c>
      <c r="B204" t="inlineStr">
        <is>
          <t>P2</t>
        </is>
      </c>
      <c r="C204" t="inlineStr">
        <is>
          <t>Fix in Progress</t>
        </is>
      </c>
      <c r="E204" t="inlineStr">
        <is>
          <t>Mobile Service Layer - E3-Production</t>
        </is>
      </c>
      <c r="F204" t="inlineStr">
        <is>
          <t>Major Impact Service Disruption - Autopay failures</t>
        </is>
      </c>
    </row>
    <row r="205">
      <c r="A205" t="inlineStr">
        <is>
          <t>PRB0085225</t>
        </is>
      </c>
      <c r="B205" t="inlineStr">
        <is>
          <t>P1</t>
        </is>
      </c>
      <c r="C205" t="inlineStr">
        <is>
          <t>New</t>
        </is>
      </c>
      <c r="D205" t="inlineStr">
        <is>
          <t>software/business</t>
        </is>
      </c>
      <c r="E205" t="inlineStr">
        <is>
          <t>vPayment Next Generation - E3-Production</t>
        </is>
      </c>
      <c r="F205" t="inlineStr">
        <is>
          <t xml:space="preserve">The alert condition for 'Failure Alert - Interfacing system: ETV (Condition: &gt;= 12 failures in &lt;15 mins&gt; window – Sev 2)' was triggered.  END POINT : </t>
        </is>
      </c>
    </row>
    <row r="206">
      <c r="A206" t="inlineStr">
        <is>
          <t>PRB0085222</t>
        </is>
      </c>
      <c r="B206" t="inlineStr">
        <is>
          <t>P2</t>
        </is>
      </c>
      <c r="C206" t="inlineStr">
        <is>
          <t>New</t>
        </is>
      </c>
      <c r="D206" t="inlineStr">
        <is>
          <t>software/system</t>
        </is>
      </c>
      <c r="E206" t="inlineStr">
        <is>
          <t>GVUSD7S6</t>
        </is>
      </c>
      <c r="F206" t="inlineStr">
        <is>
          <t>Failure in LEM-D summary processing due to connectivity issues</t>
        </is>
      </c>
    </row>
    <row r="207">
      <c r="A207" t="inlineStr">
        <is>
          <t>PRB0085198</t>
        </is>
      </c>
      <c r="B207" t="inlineStr">
        <is>
          <t>P2</t>
        </is>
      </c>
      <c r="C207" t="inlineStr">
        <is>
          <t>RCA</t>
        </is>
      </c>
      <c r="E207" t="inlineStr">
        <is>
          <t>Mobile Service Layer - E3-Production</t>
        </is>
      </c>
      <c r="F207" t="inlineStr">
        <is>
          <t>Major Impact Service Disruption - ICN failure</t>
        </is>
      </c>
    </row>
    <row r="208">
      <c r="A208" t="inlineStr">
        <is>
          <t>PRB0085197</t>
        </is>
      </c>
      <c r="B208" t="inlineStr">
        <is>
          <t>P2</t>
        </is>
      </c>
      <c r="C208" t="inlineStr">
        <is>
          <t>New</t>
        </is>
      </c>
      <c r="E208" t="inlineStr">
        <is>
          <t>DIPA</t>
        </is>
      </c>
      <c r="F208" t="inlineStr">
        <is>
          <t>MVS_WEST: Service GP-TC-PAIDS Voucher check printing - RECAP is running late. Will finish at 10:00:40 07/07/2025 GMT-07:00 instead of 10:00:00 07/07/2</t>
        </is>
      </c>
    </row>
    <row r="209">
      <c r="A209" t="inlineStr">
        <is>
          <t>PRB0085193</t>
        </is>
      </c>
      <c r="B209" t="inlineStr">
        <is>
          <t>P2</t>
        </is>
      </c>
      <c r="C209" t="inlineStr">
        <is>
          <t>Assessed</t>
        </is>
      </c>
      <c r="E209" t="inlineStr">
        <is>
          <t>Manage Your Customer Account (MYCA) - E3-Production</t>
        </is>
      </c>
      <c r="F209" t="inlineStr">
        <is>
          <t>Major Impact Service Disruption - ReadLoyaltyCatalogForLoyaltyCredit.v1 failures</t>
        </is>
      </c>
    </row>
    <row r="210">
      <c r="A210" t="inlineStr">
        <is>
          <t>PRB0085189</t>
        </is>
      </c>
      <c r="B210" t="inlineStr">
        <is>
          <t>P2</t>
        </is>
      </c>
      <c r="C210" t="inlineStr">
        <is>
          <t>New</t>
        </is>
      </c>
      <c r="E210" t="inlineStr">
        <is>
          <t>Authorization</t>
        </is>
      </c>
      <c r="F210" t="inlineStr">
        <is>
          <t>Major Impact Service Disruption - GNS | Auth &gt; Grupo Financiero Inbursa : ORG ID - 816 / Link disconnect - ISS - ATM &amp; POS - 35987, 35985, 3</t>
        </is>
      </c>
    </row>
    <row r="211">
      <c r="A211" t="inlineStr">
        <is>
          <t>PRB0085183</t>
        </is>
      </c>
      <c r="B211" t="inlineStr">
        <is>
          <t>P2</t>
        </is>
      </c>
      <c r="C211" t="inlineStr">
        <is>
          <t>New</t>
        </is>
      </c>
      <c r="D211" t="inlineStr">
        <is>
          <t>software/business</t>
        </is>
      </c>
      <c r="E211" t="inlineStr">
        <is>
          <t>DIPU</t>
        </is>
      </c>
      <c r="F211" t="inlineStr">
        <is>
          <t>MVS_DIPZ: Service EBTA 334 EMEA PBT9906 Transaction and Reconciliation activities - ECC RECAP is running late. Will finish at 07:01 06/07/2025 GMT+00:</t>
        </is>
      </c>
    </row>
    <row r="212">
      <c r="A212" t="inlineStr">
        <is>
          <t>PRB0085182</t>
        </is>
      </c>
      <c r="B212" t="inlineStr">
        <is>
          <t>P2</t>
        </is>
      </c>
      <c r="C212" t="inlineStr">
        <is>
          <t>New</t>
        </is>
      </c>
      <c r="D212" t="inlineStr">
        <is>
          <t>software/business</t>
        </is>
      </c>
      <c r="E212" t="inlineStr">
        <is>
          <t>DIPA</t>
        </is>
      </c>
      <c r="F212" t="inlineStr">
        <is>
          <t>MVS_DIPZ: Service EBTA 387 France PTMFR06 Billing and Statement production - ECC RECAP is running late. Will finish at 08:00:30 06/07/2025 GMT+00:00 i</t>
        </is>
      </c>
    </row>
    <row r="213">
      <c r="A213" t="inlineStr">
        <is>
          <t>PRB0085181</t>
        </is>
      </c>
      <c r="B213" t="inlineStr">
        <is>
          <t>P2</t>
        </is>
      </c>
      <c r="C213" t="inlineStr">
        <is>
          <t>New</t>
        </is>
      </c>
      <c r="D213" t="inlineStr">
        <is>
          <t>software/business</t>
        </is>
      </c>
      <c r="E213" t="inlineStr">
        <is>
          <t>DIPZ</t>
        </is>
      </c>
      <c r="F213" t="inlineStr">
        <is>
          <t>MVS_DIPZ: Service EBTA 384 Germany PTMDE06 Billing and Statement production - ECC RECAP is running late. Will finish at 08:01 06/07/2025 GMT+00:00 ins</t>
        </is>
      </c>
    </row>
    <row r="214">
      <c r="A214" t="inlineStr">
        <is>
          <t>PRB0085180</t>
        </is>
      </c>
      <c r="B214" t="inlineStr">
        <is>
          <t>P2</t>
        </is>
      </c>
      <c r="C214" t="inlineStr">
        <is>
          <t>New</t>
        </is>
      </c>
      <c r="D214" t="inlineStr">
        <is>
          <t>software/business</t>
        </is>
      </c>
      <c r="E214" t="inlineStr">
        <is>
          <t>DIPZ</t>
        </is>
      </c>
      <c r="F214" t="inlineStr">
        <is>
          <t>MVS_DIPZ: Service EBTA 383 Switzerland PTMCH06 Billing and Statement production - ECC RECAP is running late. Will finish at 08:01 06/07/2025 GMT+00:00</t>
        </is>
      </c>
    </row>
    <row r="215">
      <c r="A215" t="inlineStr">
        <is>
          <t>PRB0085179</t>
        </is>
      </c>
      <c r="B215" t="inlineStr">
        <is>
          <t>P2</t>
        </is>
      </c>
      <c r="C215" t="inlineStr">
        <is>
          <t>New</t>
        </is>
      </c>
      <c r="D215" t="inlineStr">
        <is>
          <t>software/business</t>
        </is>
      </c>
      <c r="E215" t="inlineStr">
        <is>
          <t>DIPZ</t>
        </is>
      </c>
      <c r="F215" t="inlineStr">
        <is>
          <t>MVS_DIPZ: Service EBTA 385 Denmark PTMDK06 Billing and Statement production - ECC RECAP is running late. Will finish at 08:01 06/07/2025 GMT+00:00 ins</t>
        </is>
      </c>
    </row>
    <row r="216">
      <c r="A216" t="inlineStr">
        <is>
          <t>PRB0085178</t>
        </is>
      </c>
      <c r="B216" t="inlineStr">
        <is>
          <t>P2</t>
        </is>
      </c>
      <c r="C216" t="inlineStr">
        <is>
          <t>New</t>
        </is>
      </c>
      <c r="D216" t="inlineStr">
        <is>
          <t>software/business</t>
        </is>
      </c>
      <c r="E216" t="inlineStr">
        <is>
          <t>DIPB</t>
        </is>
      </c>
      <c r="F216" t="inlineStr">
        <is>
          <t>MVS_DIPZ: Service EBTA 388 United Kingdom PTMGB06 Billing and Statement production - ECC RECAP is running late. Will finish at 08:00:30 06/07/2025 GMT</t>
        </is>
      </c>
    </row>
    <row r="217">
      <c r="A217" t="inlineStr">
        <is>
          <t>PRB0085177</t>
        </is>
      </c>
      <c r="B217" t="inlineStr">
        <is>
          <t>P2</t>
        </is>
      </c>
      <c r="C217" t="inlineStr">
        <is>
          <t>New</t>
        </is>
      </c>
      <c r="D217" t="inlineStr">
        <is>
          <t>software/business</t>
        </is>
      </c>
      <c r="E217" t="inlineStr">
        <is>
          <t>DIPZ</t>
        </is>
      </c>
      <c r="F217" t="inlineStr">
        <is>
          <t>MVS_DIPZ: Service EBTA 386 Spain PTMES06 Billing and Statement production - ECC RECAP is running late. Will finish at 08:01 06/07/2025 GMT+00:00 inste</t>
        </is>
      </c>
    </row>
    <row r="218">
      <c r="A218" t="inlineStr">
        <is>
          <t>PRB0085175</t>
        </is>
      </c>
      <c r="B218" t="inlineStr">
        <is>
          <t>P2</t>
        </is>
      </c>
      <c r="C218" t="inlineStr">
        <is>
          <t>Assessed</t>
        </is>
      </c>
      <c r="E218" t="inlineStr">
        <is>
          <t>Global Acquisition - New Accounts On-Boarding Process Orchestration - E3-Production</t>
        </is>
      </c>
      <c r="F218" t="inlineStr">
        <is>
          <t>DB Blocking Issue - Bridger Failures</t>
        </is>
      </c>
    </row>
    <row r="219">
      <c r="A219" t="inlineStr">
        <is>
          <t>PRB0085174</t>
        </is>
      </c>
      <c r="B219" t="inlineStr">
        <is>
          <t>P2</t>
        </is>
      </c>
      <c r="C219" t="inlineStr">
        <is>
          <t>Assessed</t>
        </is>
      </c>
      <c r="E219" t="inlineStr">
        <is>
          <t>eCP PaaS - E3-Production</t>
        </is>
      </c>
      <c r="F219" t="inlineStr">
        <is>
          <t>Major Impact Service Disruption - Step Failure for "Fetch CMA PDF Module"</t>
        </is>
      </c>
    </row>
    <row r="220">
      <c r="A220" t="inlineStr">
        <is>
          <t>PRB0085160</t>
        </is>
      </c>
      <c r="B220" t="inlineStr">
        <is>
          <t>P2</t>
        </is>
      </c>
      <c r="C220" t="inlineStr">
        <is>
          <t>New</t>
        </is>
      </c>
      <c r="F220" t="inlineStr">
        <is>
          <t>MVS_DIPS: Service Cocas - Hong Kong Batch cutoff - RECAP is runnSing late. Will finish at 09:00:50 04/07/2025 GMT+10:00 instead of 09:00:00 04/07/2025</t>
        </is>
      </c>
    </row>
    <row r="221">
      <c r="A221" t="inlineStr">
        <is>
          <t>PRB0085152</t>
        </is>
      </c>
      <c r="B221" t="inlineStr">
        <is>
          <t>P2</t>
        </is>
      </c>
      <c r="C221" t="inlineStr">
        <is>
          <t>RCA</t>
        </is>
      </c>
      <c r="E221" t="inlineStr">
        <is>
          <t>CORPORATE ONLINE PAYMENT - E3-Production</t>
        </is>
      </c>
      <c r="F221" t="inlineStr">
        <is>
          <t>AM Call failure: Lag spikes on DP connection</t>
        </is>
      </c>
    </row>
    <row r="222">
      <c r="A222" t="inlineStr">
        <is>
          <t>PRB0085151</t>
        </is>
      </c>
      <c r="B222" t="inlineStr">
        <is>
          <t>P2</t>
        </is>
      </c>
      <c r="C222" t="inlineStr">
        <is>
          <t>Assessed</t>
        </is>
      </c>
      <c r="D222" t="inlineStr">
        <is>
          <t>software/business</t>
        </is>
      </c>
      <c r="E222" t="inlineStr">
        <is>
          <t>Global Acquisition - New Accounts On-Boarding Process Orchestration - E3-Production</t>
        </is>
      </c>
      <c r="F222" t="inlineStr">
        <is>
          <t>GO2 AutoMIMReq Instant Decision Impact</t>
        </is>
      </c>
    </row>
    <row r="223">
      <c r="A223" t="inlineStr">
        <is>
          <t>PRB0085150</t>
        </is>
      </c>
      <c r="B223" t="inlineStr">
        <is>
          <t>P1</t>
        </is>
      </c>
      <c r="C223" t="inlineStr">
        <is>
          <t>Fix in Progress</t>
        </is>
      </c>
      <c r="E223" t="inlineStr">
        <is>
          <t>Mobile Service Layer - E3-Production</t>
        </is>
      </c>
      <c r="F223" t="inlineStr">
        <is>
          <t>Major Impact Service Disruption - planit and RLI failures</t>
        </is>
      </c>
    </row>
    <row r="224">
      <c r="A224" t="inlineStr">
        <is>
          <t>PRB0085134</t>
        </is>
      </c>
      <c r="B224" t="inlineStr">
        <is>
          <t>P2</t>
        </is>
      </c>
      <c r="C224" t="inlineStr">
        <is>
          <t>New</t>
        </is>
      </c>
      <c r="E224" t="inlineStr">
        <is>
          <t>Authorization</t>
        </is>
      </c>
      <c r="F224" t="inlineStr">
        <is>
          <t>Major Impact Service Disruption -  Apple Pay Transactions were declined with Do not honour | Bharain  | Previous ticket INC029899800</t>
        </is>
      </c>
    </row>
    <row r="225">
      <c r="A225" t="inlineStr">
        <is>
          <t>PRB0085132</t>
        </is>
      </c>
      <c r="B225" t="inlineStr">
        <is>
          <t>P2</t>
        </is>
      </c>
      <c r="C225" t="inlineStr">
        <is>
          <t>New</t>
        </is>
      </c>
      <c r="E225" t="inlineStr">
        <is>
          <t>PHX-DC1IVPNPARTR1B</t>
        </is>
      </c>
      <c r="F225" t="inlineStr">
        <is>
          <t>Major Impact Service Disruption - High dataplane CPU on phx-dc1ivpnpartr1b</t>
        </is>
      </c>
    </row>
    <row r="226">
      <c r="A226" t="inlineStr">
        <is>
          <t>PRB0085131</t>
        </is>
      </c>
      <c r="B226" t="inlineStr">
        <is>
          <t>P2</t>
        </is>
      </c>
      <c r="C226" t="inlineStr">
        <is>
          <t>Assessed</t>
        </is>
      </c>
      <c r="E226" t="inlineStr">
        <is>
          <t>Mobile Service Layer - E3-Production</t>
        </is>
      </c>
      <c r="F226" t="inlineStr">
        <is>
          <t>Major Impact Service Disruption - available offers failures</t>
        </is>
      </c>
    </row>
    <row r="227">
      <c r="A227" t="inlineStr">
        <is>
          <t>PRB0085123</t>
        </is>
      </c>
      <c r="B227" t="inlineStr">
        <is>
          <t>P2</t>
        </is>
      </c>
      <c r="C227" t="inlineStr">
        <is>
          <t>New</t>
        </is>
      </c>
      <c r="E227" t="inlineStr">
        <is>
          <t>eCP PaaS - E3-Production</t>
        </is>
      </c>
      <c r="F227" t="inlineStr">
        <is>
          <t>Major Impact Service Disruption -  Observed failures NetworkCheckCards   issuer with 266(Isracard  (Processor: Meawallet)) for Apple Pay INC029909461</t>
        </is>
      </c>
    </row>
    <row r="228">
      <c r="A228" t="inlineStr">
        <is>
          <t>PRB0085117</t>
        </is>
      </c>
      <c r="B228" t="inlineStr">
        <is>
          <t>P2</t>
        </is>
      </c>
      <c r="C228" t="inlineStr">
        <is>
          <t>Assessed</t>
        </is>
      </c>
      <c r="E228" t="inlineStr">
        <is>
          <t>Manage Your Customer Account (MYCA) - E3-Production</t>
        </is>
      </c>
      <c r="F228" t="inlineStr">
        <is>
          <t>Major Impact Service Disruption - CreateLoyaltyOrderForGiftCards.v1</t>
        </is>
      </c>
    </row>
    <row r="229">
      <c r="A229" t="inlineStr">
        <is>
          <t>PRB0085113</t>
        </is>
      </c>
      <c r="B229" t="inlineStr">
        <is>
          <t>P2</t>
        </is>
      </c>
      <c r="C229" t="inlineStr">
        <is>
          <t>New</t>
        </is>
      </c>
      <c r="D229" t="inlineStr">
        <is>
          <t>software/business</t>
        </is>
      </c>
      <c r="E229" t="inlineStr">
        <is>
          <t>Enterprise Token Vault - E3-Production</t>
        </is>
      </c>
      <c r="F229" t="inlineStr">
        <is>
          <t>E3 IDL  Hotfix App config changes for Added ap proxy node id</t>
        </is>
      </c>
    </row>
    <row r="230">
      <c r="A230" t="inlineStr">
        <is>
          <t>PRB0085109</t>
        </is>
      </c>
      <c r="B230" t="inlineStr">
        <is>
          <t>P2</t>
        </is>
      </c>
      <c r="C230" t="inlineStr">
        <is>
          <t>Fix in Progress</t>
        </is>
      </c>
      <c r="E230" t="inlineStr">
        <is>
          <t>Manage Your Customer Account (MYCA) - E3-Production</t>
        </is>
      </c>
      <c r="F230" t="inlineStr">
        <is>
          <t>PRB0085109 - MIM 109037 - PRB0085109 Major Impact Service Disruption - Statement credit failures</t>
        </is>
      </c>
    </row>
    <row r="231">
      <c r="A231" t="inlineStr">
        <is>
          <t>PRB0085108</t>
        </is>
      </c>
      <c r="B231" t="inlineStr">
        <is>
          <t>P2</t>
        </is>
      </c>
      <c r="C231" t="inlineStr">
        <is>
          <t>RCA</t>
        </is>
      </c>
      <c r="D231" t="inlineStr">
        <is>
          <t>software/business</t>
        </is>
      </c>
      <c r="E231" t="inlineStr">
        <is>
          <t>CT - Online - Booking Path iSeatz - E3-Production</t>
        </is>
      </c>
      <c r="F231" t="inlineStr">
        <is>
          <t>INC0045157 -  Car Search Degradation</t>
        </is>
      </c>
    </row>
    <row r="232">
      <c r="A232" t="inlineStr">
        <is>
          <t>PRB0085103</t>
        </is>
      </c>
      <c r="B232" t="inlineStr">
        <is>
          <t>P1</t>
        </is>
      </c>
      <c r="C232" t="inlineStr">
        <is>
          <t>New</t>
        </is>
      </c>
      <c r="E232" t="inlineStr">
        <is>
          <t>Authorization</t>
        </is>
      </c>
      <c r="F232" t="inlineStr">
        <is>
          <t>Major Impact Service Disruption - GNS | HYUNDAI CARD |ORG ID  836 | Auth | Digital Wallet - Apple Pay | Transaction trace - Amex offline pay</t>
        </is>
      </c>
    </row>
    <row r="233">
      <c r="A233" t="inlineStr">
        <is>
          <t>PRB0085092</t>
        </is>
      </c>
      <c r="B233" t="inlineStr">
        <is>
          <t>P2</t>
        </is>
      </c>
      <c r="C233" t="inlineStr">
        <is>
          <t>Assessed</t>
        </is>
      </c>
      <c r="E233" t="inlineStr">
        <is>
          <t>Gift Card - E3-Production</t>
        </is>
      </c>
      <c r="F233" t="inlineStr">
        <is>
          <t>PRB0085092 - MIM 109032 - Major Impact Service Disruption - gift card failures</t>
        </is>
      </c>
    </row>
    <row r="234">
      <c r="A234" t="inlineStr">
        <is>
          <t>PRB0085085</t>
        </is>
      </c>
      <c r="B234" t="inlineStr">
        <is>
          <t>P2</t>
        </is>
      </c>
      <c r="C234" t="inlineStr">
        <is>
          <t>New</t>
        </is>
      </c>
      <c r="D234" t="inlineStr">
        <is>
          <t>software/system</t>
        </is>
      </c>
      <c r="E234" t="inlineStr">
        <is>
          <t>Global Issuance Platform - E3-Production</t>
        </is>
      </c>
      <c r="F234" t="inlineStr">
        <is>
          <t>GIP: 19:00 Hour -&gt; Missing Files - `GSJAPA_HKG_CON, GSJAPA_TWN_CON`</t>
        </is>
      </c>
    </row>
    <row r="235">
      <c r="A235" t="inlineStr">
        <is>
          <t>PRB0085077</t>
        </is>
      </c>
      <c r="B235" t="inlineStr">
        <is>
          <t>P2</t>
        </is>
      </c>
      <c r="C235" t="inlineStr">
        <is>
          <t>RCA</t>
        </is>
      </c>
      <c r="E235" t="inlineStr">
        <is>
          <t>Global Acquisition - New Accounts On-Boarding Process Orchestration - E3-Production</t>
        </is>
      </c>
      <c r="F235" t="inlineStr">
        <is>
          <t>Major Impact Service Disruption - Spike in Inventory BTLI Workbasket</t>
        </is>
      </c>
    </row>
    <row r="236">
      <c r="A236" t="inlineStr">
        <is>
          <t>PRB0085076</t>
        </is>
      </c>
      <c r="B236" t="inlineStr">
        <is>
          <t>P2</t>
        </is>
      </c>
      <c r="C236" t="inlineStr">
        <is>
          <t>New</t>
        </is>
      </c>
      <c r="E236" t="inlineStr">
        <is>
          <t>Authorization</t>
        </is>
      </c>
      <c r="F236" t="inlineStr">
        <is>
          <t>Major Impact Service Disruption - GMNTS | SharkNinja | Declines on TXNs | INC029895055</t>
        </is>
      </c>
    </row>
    <row r="237">
      <c r="A237" t="inlineStr">
        <is>
          <t>PRB0085047</t>
        </is>
      </c>
      <c r="B237" t="inlineStr">
        <is>
          <t>P2</t>
        </is>
      </c>
      <c r="C237" t="inlineStr">
        <is>
          <t>New</t>
        </is>
      </c>
      <c r="D237" t="inlineStr">
        <is>
          <t>software/business</t>
        </is>
      </c>
      <c r="E237" t="inlineStr">
        <is>
          <t>Workspace (Workspace Desktop Edition)</t>
        </is>
      </c>
      <c r="F237" t="inlineStr">
        <is>
          <t>in UK TLS, consultats are not able to route calls</t>
        </is>
      </c>
    </row>
    <row r="238">
      <c r="A238" t="inlineStr">
        <is>
          <t>PRB0085026</t>
        </is>
      </c>
      <c r="B238" t="inlineStr">
        <is>
          <t>P2</t>
        </is>
      </c>
      <c r="C238" t="inlineStr">
        <is>
          <t>New</t>
        </is>
      </c>
      <c r="E238" t="inlineStr">
        <is>
          <t>Authorization</t>
        </is>
      </c>
      <c r="F238" t="inlineStr">
        <is>
          <t>Major Impact Service Disruption - GMNTS \  NAB \ High number of declines for ATM link - Port number 27057</t>
        </is>
      </c>
    </row>
    <row r="239">
      <c r="A239" t="inlineStr">
        <is>
          <t>PRB0085024</t>
        </is>
      </c>
      <c r="B239" t="inlineStr">
        <is>
          <t>P2</t>
        </is>
      </c>
      <c r="C239" t="inlineStr">
        <is>
          <t>Assessed</t>
        </is>
      </c>
      <c r="E239" t="inlineStr">
        <is>
          <t>SafeKey - 3DS Directory Server - E3-Production</t>
        </is>
      </c>
      <c r="F239" t="inlineStr">
        <is>
          <t>Major Impact Service Disruption - SafeKey Tokenized Authentication Failures for India market</t>
        </is>
      </c>
    </row>
    <row r="240">
      <c r="A240" t="inlineStr">
        <is>
          <t>PRB0085022</t>
        </is>
      </c>
      <c r="B240" t="inlineStr">
        <is>
          <t>P2</t>
        </is>
      </c>
      <c r="C240" t="inlineStr">
        <is>
          <t>Assessed</t>
        </is>
      </c>
      <c r="E240" t="inlineStr">
        <is>
          <t>Mobile Service Layer - E3-Production</t>
        </is>
      </c>
      <c r="F240" t="inlineStr">
        <is>
          <t>Major Impact Service Disruption - spike in failures for ReadLoyaltyBenefits.v2</t>
        </is>
      </c>
    </row>
    <row r="241">
      <c r="A241" t="inlineStr">
        <is>
          <t>PRB0085021</t>
        </is>
      </c>
      <c r="B241" t="inlineStr">
        <is>
          <t>P2</t>
        </is>
      </c>
      <c r="C241" t="inlineStr">
        <is>
          <t>RCA</t>
        </is>
      </c>
      <c r="E241" t="inlineStr">
        <is>
          <t>Mobile Service Layer - E3-Production</t>
        </is>
      </c>
      <c r="F241" t="inlineStr">
        <is>
          <t>Major Impact Service Disruption - UpdateAccountLimits.v1 failures</t>
        </is>
      </c>
    </row>
    <row r="242">
      <c r="A242" t="inlineStr">
        <is>
          <t>PRB0085000</t>
        </is>
      </c>
      <c r="B242" t="inlineStr">
        <is>
          <t>P2</t>
        </is>
      </c>
      <c r="C242" t="inlineStr">
        <is>
          <t>New</t>
        </is>
      </c>
      <c r="D242" t="inlineStr">
        <is>
          <t>software/business</t>
        </is>
      </c>
      <c r="E242" t="inlineStr">
        <is>
          <t>Mobile Service Layer - E3-Production</t>
        </is>
      </c>
      <c r="F242" t="inlineStr">
        <is>
          <t>Spike in failures for 	/zelle/v1/moneyMovement/inquiry</t>
        </is>
      </c>
    </row>
    <row r="243">
      <c r="A243" t="inlineStr">
        <is>
          <t>PRB0084990</t>
        </is>
      </c>
      <c r="B243" t="inlineStr">
        <is>
          <t>P2</t>
        </is>
      </c>
      <c r="C243" t="inlineStr">
        <is>
          <t>RCA</t>
        </is>
      </c>
      <c r="E243" t="inlineStr">
        <is>
          <t>Manage Your Customer Account (MYCA) - E3-Production</t>
        </is>
      </c>
      <c r="F243" t="inlineStr">
        <is>
          <t>Major Impact Service Disruption - UpdateAccountLimits.v2 Failures due to garfeatures API</t>
        </is>
      </c>
    </row>
    <row r="244">
      <c r="A244" t="inlineStr">
        <is>
          <t>PRB0084988</t>
        </is>
      </c>
      <c r="B244" t="inlineStr">
        <is>
          <t>P2</t>
        </is>
      </c>
      <c r="C244" t="inlineStr">
        <is>
          <t>Fix in Progress</t>
        </is>
      </c>
      <c r="D244" t="inlineStr">
        <is>
          <t>software/business</t>
        </is>
      </c>
      <c r="E244" t="inlineStr">
        <is>
          <t>Merchant Reconciliation Data - E3-Production</t>
        </is>
      </c>
      <c r="F244" t="inlineStr">
        <is>
          <t>GMDL_GRD - GRD SLA Breach Profiles - OptBlue</t>
        </is>
      </c>
    </row>
    <row r="245">
      <c r="A245" t="inlineStr">
        <is>
          <t>PRB0084984</t>
        </is>
      </c>
      <c r="B245" t="inlineStr">
        <is>
          <t>P2</t>
        </is>
      </c>
      <c r="C245" t="inlineStr">
        <is>
          <t>RCA</t>
        </is>
      </c>
      <c r="E245" t="inlineStr">
        <is>
          <t>Mobile Service Layer - E3-Production</t>
        </is>
      </c>
      <c r="F245" t="inlineStr">
        <is>
          <t>Major Impact Service Disruption - ReadLine Management timeouts</t>
        </is>
      </c>
    </row>
    <row r="246">
      <c r="A246" t="inlineStr">
        <is>
          <t>PRB0084979</t>
        </is>
      </c>
      <c r="B246" t="inlineStr">
        <is>
          <t>P2</t>
        </is>
      </c>
      <c r="C246" t="inlineStr">
        <is>
          <t>Fix in Progress</t>
        </is>
      </c>
      <c r="E246" t="inlineStr">
        <is>
          <t>Global Acquisition - New Accounts On-Boarding Process Orchestration - E3-Production</t>
        </is>
      </c>
      <c r="F246" t="inlineStr">
        <is>
          <t>Major Impact Service Disruption - AML Check Failures for AU Market</t>
        </is>
      </c>
    </row>
    <row r="247">
      <c r="A247" t="inlineStr">
        <is>
          <t>PRB0084973</t>
        </is>
      </c>
      <c r="B247" t="inlineStr">
        <is>
          <t>P2</t>
        </is>
      </c>
      <c r="C247" t="inlineStr">
        <is>
          <t>Assessed</t>
        </is>
      </c>
      <c r="E247" t="inlineStr">
        <is>
          <t>Manage Your Customer Account (MYCA) - E3-Production</t>
        </is>
      </c>
      <c r="F247" t="inlineStr">
        <is>
          <t>Major Impact Service Disruption - Dozens of reports of late payment emails being sent for payment due date on 20th June (same as above issue</t>
        </is>
      </c>
    </row>
    <row r="248">
      <c r="A248" t="inlineStr">
        <is>
          <t>PRB0084969</t>
        </is>
      </c>
      <c r="B248" t="inlineStr">
        <is>
          <t>P2</t>
        </is>
      </c>
      <c r="C248" t="inlineStr">
        <is>
          <t>Assessed</t>
        </is>
      </c>
      <c r="E248" t="inlineStr">
        <is>
          <t>FILE SERVICES - TRANSMITTER PROFILE - E3-Production</t>
        </is>
      </c>
      <c r="F248" t="inlineStr">
        <is>
          <t>Major Impact Service Disruption - SFT E3 - Proactive Alert | Base Filename: TD_CREDIT_ | Username: GMNTPRD | Hi Team,The following SFT Proac</t>
        </is>
      </c>
    </row>
    <row r="249">
      <c r="A249" t="inlineStr">
        <is>
          <t>PRB0084953</t>
        </is>
      </c>
      <c r="B249" t="inlineStr">
        <is>
          <t>P2</t>
        </is>
      </c>
      <c r="C249" t="inlineStr">
        <is>
          <t>Fix in Progress</t>
        </is>
      </c>
      <c r="E249" t="inlineStr">
        <is>
          <t>Mobile Service Layer - E3-Production</t>
        </is>
      </c>
      <c r="F249" t="inlineStr">
        <is>
          <t>Major Impact Service Disruption - Messaging Failures</t>
        </is>
      </c>
    </row>
    <row r="250">
      <c r="A250" t="inlineStr">
        <is>
          <t>PRB0084942</t>
        </is>
      </c>
      <c r="B250" t="inlineStr">
        <is>
          <t>P2</t>
        </is>
      </c>
      <c r="C250" t="inlineStr">
        <is>
          <t>Fix in Progress</t>
        </is>
      </c>
      <c r="E250" t="inlineStr">
        <is>
          <t>Mobile Service Layer - E3-Production</t>
        </is>
      </c>
      <c r="F250" t="inlineStr">
        <is>
          <t>Major Impact Service Disruption - ReadPaymentDevices.v1 failures</t>
        </is>
      </c>
    </row>
    <row r="251">
      <c r="A251" t="inlineStr">
        <is>
          <t>PRB0084941</t>
        </is>
      </c>
      <c r="B251" t="inlineStr">
        <is>
          <t>P2</t>
        </is>
      </c>
      <c r="C251" t="inlineStr">
        <is>
          <t>New</t>
        </is>
      </c>
      <c r="D251" t="inlineStr">
        <is>
          <t>software/error</t>
        </is>
      </c>
      <c r="E251" t="inlineStr">
        <is>
          <t>wroc.ipc.us.aexp.com</t>
        </is>
      </c>
      <c r="F251" t="inlineStr">
        <is>
          <t xml:space="preserve">MVS_DIPR: Service MNS - Argentina EOD Cutoff - RECAP is running late. Will finish at 02:01 22/06/2025 GMT-03:00 instead of 02:00 22/06/2025 GMT-03:00 </t>
        </is>
      </c>
    </row>
    <row r="252">
      <c r="A252" t="inlineStr">
        <is>
          <t>PRB0084940</t>
        </is>
      </c>
      <c r="B252" t="inlineStr">
        <is>
          <t>P2</t>
        </is>
      </c>
      <c r="C252" t="inlineStr">
        <is>
          <t>New</t>
        </is>
      </c>
      <c r="D252" t="inlineStr">
        <is>
          <t>software/error</t>
        </is>
      </c>
      <c r="E252" t="inlineStr">
        <is>
          <t>wroc.ipc.us.aexp.com</t>
        </is>
      </c>
      <c r="F252" t="inlineStr">
        <is>
          <t>MVS_DIPR: Service MNS - Argentina Online Adjustments - RECAP is running late. Will finish at 02:00:20 22/06/2025 GMT-03:00 instead of 02:00:00 22/06/2</t>
        </is>
      </c>
    </row>
    <row r="253">
      <c r="A253" t="inlineStr">
        <is>
          <t>PRB0084934</t>
        </is>
      </c>
      <c r="B253" t="inlineStr">
        <is>
          <t>P2</t>
        </is>
      </c>
      <c r="C253" t="inlineStr">
        <is>
          <t>RCA</t>
        </is>
      </c>
      <c r="E253" t="inlineStr">
        <is>
          <t>One Identity - E3-Production</t>
        </is>
      </c>
      <c r="F253" t="inlineStr">
        <is>
          <t>Major Impact Service Disruption - UpdateAccountLimits.v1 failures</t>
        </is>
      </c>
    </row>
    <row r="254">
      <c r="A254" t="inlineStr">
        <is>
          <t>PRB0084925</t>
        </is>
      </c>
      <c r="B254" t="inlineStr">
        <is>
          <t>P2</t>
        </is>
      </c>
      <c r="C254" t="inlineStr">
        <is>
          <t>Fix in Progress</t>
        </is>
      </c>
      <c r="E254" t="inlineStr">
        <is>
          <t>Digital Banking Platform - BCA &amp; CCA</t>
        </is>
      </c>
      <c r="F254" t="inlineStr">
        <is>
          <t>Major Impact Service Disruption - TCCB-TCP: Windows Classic: - Monetary team need ticket to be opened and routed to Digital Banking Platform Support</t>
        </is>
      </c>
    </row>
    <row r="255">
      <c r="A255" t="inlineStr">
        <is>
          <t>PRB0084906</t>
        </is>
      </c>
      <c r="B255" t="inlineStr">
        <is>
          <t>P2</t>
        </is>
      </c>
      <c r="C255" t="inlineStr">
        <is>
          <t>Assessed</t>
        </is>
      </c>
      <c r="E255" t="inlineStr">
        <is>
          <t>Mobile Service Layer - E3-Production</t>
        </is>
      </c>
      <c r="F255" t="inlineStr">
        <is>
          <t>Major Impact Service Disruption - enroll offers failures</t>
        </is>
      </c>
    </row>
    <row r="256">
      <c r="A256" t="inlineStr">
        <is>
          <t>PRB0084905</t>
        </is>
      </c>
      <c r="B256" t="inlineStr">
        <is>
          <t>P2</t>
        </is>
      </c>
      <c r="C256" t="inlineStr">
        <is>
          <t>Fix in Progress</t>
        </is>
      </c>
      <c r="E256" t="inlineStr">
        <is>
          <t>Digital Banking Platform - BCA &amp; CCA</t>
        </is>
      </c>
      <c r="F256" t="inlineStr">
        <is>
          <t>Major Impact Service Disruption - Wire Transactions are being auto rejected as duplicate in OPF POM (P3-Urgent)</t>
        </is>
      </c>
    </row>
    <row r="257">
      <c r="A257" t="inlineStr">
        <is>
          <t>PRB0084902</t>
        </is>
      </c>
      <c r="B257" t="inlineStr">
        <is>
          <t>P1</t>
        </is>
      </c>
      <c r="C257" t="inlineStr">
        <is>
          <t>106</t>
        </is>
      </c>
      <c r="D257" t="inlineStr">
        <is>
          <t>software/business</t>
        </is>
      </c>
      <c r="E257" t="inlineStr">
        <is>
          <t>E3-PROD</t>
        </is>
      </c>
      <c r="F257" t="inlineStr">
        <is>
          <t>Major Impact Service Disruption - DOWNLOADS NOT RECEIVED FOR THE US REGION</t>
        </is>
      </c>
    </row>
    <row r="258">
      <c r="A258" t="inlineStr">
        <is>
          <t>PRB0084896</t>
        </is>
      </c>
      <c r="B258" t="inlineStr">
        <is>
          <t>P2</t>
        </is>
      </c>
      <c r="C258" t="inlineStr">
        <is>
          <t>Fix in Progress</t>
        </is>
      </c>
      <c r="D258" t="inlineStr">
        <is>
          <t>software/system</t>
        </is>
      </c>
      <c r="E258" t="inlineStr">
        <is>
          <t>ARRANGEMENT MANAGER - E3-Production</t>
        </is>
      </c>
      <c r="F258" t="inlineStr">
        <is>
          <t>Q9USD701 ORDERID=1M257 PS030 JS001 U0000 AMXW</t>
        </is>
      </c>
    </row>
    <row r="259">
      <c r="A259" t="inlineStr">
        <is>
          <t>PRB0084890</t>
        </is>
      </c>
      <c r="B259" t="inlineStr">
        <is>
          <t>P1</t>
        </is>
      </c>
      <c r="C259" t="inlineStr">
        <is>
          <t>Assessed</t>
        </is>
      </c>
      <c r="E259" t="inlineStr">
        <is>
          <t>Global Personalization - E3-Production</t>
        </is>
      </c>
      <c r="F259" t="inlineStr">
        <is>
          <t>Major Impact Service Disruption - We are observing redis exceptions from 05:09 AM MST</t>
        </is>
      </c>
    </row>
    <row r="260">
      <c r="A260" t="inlineStr">
        <is>
          <t>PRB0084886</t>
        </is>
      </c>
      <c r="B260" t="inlineStr">
        <is>
          <t>P2</t>
        </is>
      </c>
      <c r="C260" t="inlineStr">
        <is>
          <t>New</t>
        </is>
      </c>
      <c r="D260" t="inlineStr">
        <is>
          <t>software/business</t>
        </is>
      </c>
      <c r="E260" t="inlineStr">
        <is>
          <t>CT - Mobile - Travel App - E3-Production</t>
        </is>
      </c>
      <c r="F260" t="inlineStr">
        <is>
          <t>Intermittent Car Search Error Due to GBM Failure</t>
        </is>
      </c>
    </row>
    <row r="261">
      <c r="A261" t="inlineStr">
        <is>
          <t>PRB0084859</t>
        </is>
      </c>
      <c r="B261" t="inlineStr">
        <is>
          <t>P2</t>
        </is>
      </c>
      <c r="C261" t="inlineStr">
        <is>
          <t>RCA</t>
        </is>
      </c>
      <c r="D261" t="inlineStr">
        <is>
          <t>software/business</t>
        </is>
      </c>
      <c r="E261" t="inlineStr">
        <is>
          <t>Enterprise Wallet - E3-Production</t>
        </is>
      </c>
      <c r="F261" t="inlineStr">
        <is>
          <t>Major Impact Service Disruption - Apple Pay Intermittent Provisioning Failures - PutPending API failures</t>
        </is>
      </c>
    </row>
    <row r="262">
      <c r="A262" t="inlineStr">
        <is>
          <t>PRB0084839</t>
        </is>
      </c>
      <c r="B262" t="inlineStr">
        <is>
          <t>P2</t>
        </is>
      </c>
      <c r="C262" t="inlineStr">
        <is>
          <t>Assessed</t>
        </is>
      </c>
      <c r="E262" t="inlineStr">
        <is>
          <t>Manage Your Customer Account (MYCA) - E3-Production</t>
        </is>
      </c>
      <c r="F262" t="inlineStr">
        <is>
          <t>Major Impact Service Disruption - 5xx failures for ReadCardAccountOffersList.v1 from specific pods</t>
        </is>
      </c>
    </row>
    <row r="263">
      <c r="A263" t="inlineStr">
        <is>
          <t>PRB0084824</t>
        </is>
      </c>
      <c r="B263" t="inlineStr">
        <is>
          <t>P2</t>
        </is>
      </c>
      <c r="C263" t="inlineStr">
        <is>
          <t>RCA</t>
        </is>
      </c>
      <c r="E263" t="inlineStr">
        <is>
          <t>Mobile Service Layer - E3-Production</t>
        </is>
      </c>
      <c r="F263" t="inlineStr">
        <is>
          <t>Major Impact Service Disruption - US Offer enroll failure</t>
        </is>
      </c>
    </row>
    <row r="264">
      <c r="A264" t="inlineStr">
        <is>
          <t>PRB0084820</t>
        </is>
      </c>
      <c r="B264" t="inlineStr">
        <is>
          <t>P2</t>
        </is>
      </c>
      <c r="C264" t="inlineStr">
        <is>
          <t>Assessed</t>
        </is>
      </c>
      <c r="D264" t="inlineStr">
        <is>
          <t>software/system</t>
        </is>
      </c>
      <c r="E264" t="inlineStr">
        <is>
          <t>DIPK</t>
        </is>
      </c>
      <c r="F264" t="inlineStr">
        <is>
          <t>MVS_DIPR: Service MNS - Argentina Online Adjustments - RECAP is running late. Will finish at 02:00:30 15/06/2025 GMT-03:00 instead of 02:00:00 15/06/2</t>
        </is>
      </c>
    </row>
    <row r="265">
      <c r="A265" t="inlineStr">
        <is>
          <t>PRB0084819</t>
        </is>
      </c>
      <c r="B265" t="inlineStr">
        <is>
          <t>P2</t>
        </is>
      </c>
      <c r="C265" t="inlineStr">
        <is>
          <t>Assessed</t>
        </is>
      </c>
      <c r="D265" t="inlineStr">
        <is>
          <t>software/system</t>
        </is>
      </c>
      <c r="E265" t="inlineStr">
        <is>
          <t>DIPR</t>
        </is>
      </c>
      <c r="F265" t="inlineStr">
        <is>
          <t xml:space="preserve">MVS_DIPR: Service MNS - Argentina EOD Cutoff - RECAP is running late. Will finish at 02:01 15/06/2025 GMT-03:00 instead of 02:00 15/06/2025 GMT-03:00 </t>
        </is>
      </c>
    </row>
    <row r="266">
      <c r="A266" t="inlineStr">
        <is>
          <t>PRB0084818</t>
        </is>
      </c>
      <c r="B266" t="inlineStr">
        <is>
          <t>P2</t>
        </is>
      </c>
      <c r="C266" t="inlineStr">
        <is>
          <t>New</t>
        </is>
      </c>
      <c r="E266" t="inlineStr">
        <is>
          <t>Global Issuance Platform - E3-Production</t>
        </is>
      </c>
      <c r="F266" t="inlineStr">
        <is>
          <t>Major Impact Service Disruption - Multiple Cards being rejected due to invalid Font for Documents</t>
        </is>
      </c>
    </row>
    <row r="267">
      <c r="A267" t="inlineStr">
        <is>
          <t>PRB0084816</t>
        </is>
      </c>
      <c r="B267" t="inlineStr">
        <is>
          <t>P2</t>
        </is>
      </c>
      <c r="C267" t="inlineStr">
        <is>
          <t>RCA</t>
        </is>
      </c>
      <c r="E267" t="inlineStr">
        <is>
          <t>ARRANGEMENT MANAGER - E3-Production</t>
        </is>
      </c>
      <c r="F267" t="inlineStr">
        <is>
          <t>Major Impact Service Disruption - UK payment failures</t>
        </is>
      </c>
    </row>
    <row r="268">
      <c r="A268" t="inlineStr">
        <is>
          <t>PRB0084813</t>
        </is>
      </c>
      <c r="B268" t="inlineStr">
        <is>
          <t>P2</t>
        </is>
      </c>
      <c r="C268" t="inlineStr">
        <is>
          <t>106</t>
        </is>
      </c>
      <c r="D268" t="inlineStr">
        <is>
          <t>software/business</t>
        </is>
      </c>
      <c r="E268" t="inlineStr">
        <is>
          <t>Mobile Service Layer - E3-Production</t>
        </is>
      </c>
      <c r="F268" t="inlineStr">
        <is>
          <t>Multiple functions failures</t>
        </is>
      </c>
    </row>
    <row r="269">
      <c r="A269" t="inlineStr">
        <is>
          <t>PRB0084809</t>
        </is>
      </c>
      <c r="B269" t="inlineStr">
        <is>
          <t>P2</t>
        </is>
      </c>
      <c r="C269" t="inlineStr">
        <is>
          <t>RCA</t>
        </is>
      </c>
      <c r="E269" t="inlineStr">
        <is>
          <t>Manage Your Customer Account (MYCA) - E3-Production</t>
        </is>
      </c>
      <c r="F269" t="inlineStr">
        <is>
          <t>Major Impact Service Disruption - offer failures</t>
        </is>
      </c>
    </row>
    <row r="270">
      <c r="A270" t="inlineStr">
        <is>
          <t>PRB0084805</t>
        </is>
      </c>
      <c r="B270" t="inlineStr">
        <is>
          <t>P2</t>
        </is>
      </c>
      <c r="C270" t="inlineStr">
        <is>
          <t>Assessed</t>
        </is>
      </c>
      <c r="E270" t="inlineStr">
        <is>
          <t>Mobile Service Layer - E3-Production</t>
        </is>
      </c>
      <c r="F270" t="inlineStr">
        <is>
          <t>PRB0084805 - Major Impact Service Disruption - Select and Redeem Failure for France Market</t>
        </is>
      </c>
    </row>
    <row r="271">
      <c r="A271" t="inlineStr">
        <is>
          <t>PRB0084796</t>
        </is>
      </c>
      <c r="B271" t="inlineStr">
        <is>
          <t>P2</t>
        </is>
      </c>
      <c r="C271" t="inlineStr">
        <is>
          <t>New</t>
        </is>
      </c>
      <c r="D271" t="inlineStr">
        <is>
          <t>software/error</t>
        </is>
      </c>
      <c r="E271" t="inlineStr">
        <is>
          <t>sroczowe.aexp.com</t>
        </is>
      </c>
      <c r="F271" t="inlineStr">
        <is>
          <t>MVS_DIPR: Service MNS - Argentina Online Adjustments - RECAP is running late. Will finish at 02:01 13/06/2025 GMT-03:00 instead of 02:00 13/06/2025 GM</t>
        </is>
      </c>
    </row>
    <row r="272">
      <c r="A272" t="inlineStr">
        <is>
          <t>PRB0084783</t>
        </is>
      </c>
      <c r="B272" t="inlineStr">
        <is>
          <t>P2</t>
        </is>
      </c>
      <c r="C272" t="inlineStr">
        <is>
          <t>Fix in Progress</t>
        </is>
      </c>
      <c r="D272" t="inlineStr">
        <is>
          <t>software/system</t>
        </is>
      </c>
      <c r="E272" t="inlineStr">
        <is>
          <t>Digital Banking Platform - E3-Production</t>
        </is>
      </c>
      <c r="F272" t="inlineStr">
        <is>
          <t>Major Impact Service Disruption - Failures from Zelle function since 3:42 MST</t>
        </is>
      </c>
    </row>
    <row r="273">
      <c r="A273" t="inlineStr">
        <is>
          <t>PRB0084759</t>
        </is>
      </c>
      <c r="B273" t="inlineStr">
        <is>
          <t>P2</t>
        </is>
      </c>
      <c r="C273" t="inlineStr">
        <is>
          <t>New</t>
        </is>
      </c>
      <c r="D273" t="inlineStr">
        <is>
          <t>access/application</t>
        </is>
      </c>
      <c r="E273" t="inlineStr">
        <is>
          <t>Manage Your Customer Account (MYCA) - E3-Production</t>
        </is>
      </c>
      <c r="F273" t="inlineStr">
        <is>
          <t>ReadLoyaltyCatalogForLoyaltyCredit.v1 is failing with 502 error</t>
        </is>
      </c>
    </row>
    <row r="274">
      <c r="A274" t="inlineStr">
        <is>
          <t>PRB0084758</t>
        </is>
      </c>
      <c r="B274" t="inlineStr">
        <is>
          <t>P2</t>
        </is>
      </c>
      <c r="C274" t="inlineStr">
        <is>
          <t>Assessed</t>
        </is>
      </c>
      <c r="D274" t="inlineStr">
        <is>
          <t>software/system</t>
        </is>
      </c>
      <c r="E274" t="inlineStr">
        <is>
          <t>DIPB</t>
        </is>
      </c>
      <c r="F274" t="inlineStr">
        <is>
          <t>-DPG4 NUMBER OF IN USE DBATS EXCEEDS THRESHOLD</t>
        </is>
      </c>
    </row>
    <row r="275">
      <c r="A275" t="inlineStr">
        <is>
          <t>PRB0084752</t>
        </is>
      </c>
      <c r="B275" t="inlineStr">
        <is>
          <t>P2</t>
        </is>
      </c>
      <c r="C275" t="inlineStr">
        <is>
          <t>Assessed</t>
        </is>
      </c>
      <c r="E275" t="inlineStr">
        <is>
          <t>Loyalty Information Services - E3-Production</t>
        </is>
      </c>
      <c r="F275" t="inlineStr">
        <is>
          <t>Major Impact Service Disruption - ReadLoyaltyAccounts failures</t>
        </is>
      </c>
    </row>
    <row r="276">
      <c r="A276" t="inlineStr">
        <is>
          <t>PRB0084744</t>
        </is>
      </c>
      <c r="B276" t="inlineStr">
        <is>
          <t>P2</t>
        </is>
      </c>
      <c r="C276" t="inlineStr">
        <is>
          <t>New</t>
        </is>
      </c>
      <c r="E276" t="inlineStr">
        <is>
          <t>Intl Digital Existing Customer Application - E3-Production</t>
        </is>
      </c>
      <c r="F276" t="inlineStr">
        <is>
          <t>Major Impact Service Disruption - Observing failures for internal server occurred for digital fulfillment service</t>
        </is>
      </c>
    </row>
    <row r="277">
      <c r="A277" t="inlineStr">
        <is>
          <t>PRB0084713</t>
        </is>
      </c>
      <c r="B277" t="inlineStr">
        <is>
          <t>P2</t>
        </is>
      </c>
      <c r="C277" t="inlineStr">
        <is>
          <t>New</t>
        </is>
      </c>
      <c r="E277" t="inlineStr">
        <is>
          <t>TPFPTPFA</t>
        </is>
      </c>
      <c r="F277" t="inlineStr">
        <is>
          <t>Major Impact Service Disruption - DUMP: NM00 OPR-U066263 - TPFA PRODUCTION SYSTEM............</t>
        </is>
      </c>
    </row>
    <row r="278">
      <c r="A278" t="inlineStr">
        <is>
          <t>PRB0084707</t>
        </is>
      </c>
      <c r="B278" t="inlineStr">
        <is>
          <t>P2</t>
        </is>
      </c>
      <c r="C278" t="inlineStr">
        <is>
          <t>Fix in Progress</t>
        </is>
      </c>
      <c r="D278" t="inlineStr">
        <is>
          <t>software/business</t>
        </is>
      </c>
      <c r="E278" t="inlineStr">
        <is>
          <t>Mobile Service Layer - E3-Production</t>
        </is>
      </c>
      <c r="F278" t="inlineStr">
        <is>
          <t>intermittent check deposit failures</t>
        </is>
      </c>
    </row>
    <row r="279">
      <c r="A279" t="inlineStr">
        <is>
          <t>PRB0084706</t>
        </is>
      </c>
      <c r="B279" t="inlineStr">
        <is>
          <t>P2</t>
        </is>
      </c>
      <c r="C279" t="inlineStr">
        <is>
          <t>RCA</t>
        </is>
      </c>
      <c r="E279" t="inlineStr">
        <is>
          <t>FIS Banking Applications - E3-Production</t>
        </is>
      </c>
      <c r="F279" t="inlineStr">
        <is>
          <t>Major Impact Service Disruption - I need an INC ticket for FIS Image Centre system</t>
        </is>
      </c>
    </row>
    <row r="280">
      <c r="A280" t="inlineStr">
        <is>
          <t>PRB0084703</t>
        </is>
      </c>
      <c r="B280" t="inlineStr">
        <is>
          <t>P2</t>
        </is>
      </c>
      <c r="C280" t="inlineStr">
        <is>
          <t>New</t>
        </is>
      </c>
      <c r="E280" t="inlineStr">
        <is>
          <t>gim-eusw1.americanexpress.com</t>
        </is>
      </c>
      <c r="F280" t="inlineStr">
        <is>
          <t>Exception in get api online Bootstrap module</t>
        </is>
      </c>
    </row>
    <row r="281">
      <c r="A281" t="inlineStr">
        <is>
          <t>PRB0084695</t>
        </is>
      </c>
      <c r="B281" t="inlineStr">
        <is>
          <t>P2</t>
        </is>
      </c>
      <c r="C281" t="inlineStr">
        <is>
          <t>Assessed</t>
        </is>
      </c>
      <c r="E281" t="inlineStr">
        <is>
          <t>eCP PaaS - E3-Production</t>
        </is>
      </c>
      <c r="F281" t="inlineStr">
        <is>
          <t>Major Impact Service Disruption - DC Routing for Project:dp-tokens and Service:dp-authenticator</t>
        </is>
      </c>
    </row>
    <row r="282">
      <c r="A282" t="inlineStr">
        <is>
          <t>PRB0084690</t>
        </is>
      </c>
      <c r="B282" t="inlineStr">
        <is>
          <t>P2</t>
        </is>
      </c>
      <c r="C282" t="inlineStr">
        <is>
          <t>Assessed</t>
        </is>
      </c>
      <c r="E282" t="inlineStr">
        <is>
          <t>Mobile Service Layer - E3-Production</t>
        </is>
      </c>
      <c r="F282" t="inlineStr">
        <is>
          <t>Major Impact Service Disruption - ReadLineManagementOffers.v1 failures</t>
        </is>
      </c>
    </row>
    <row r="283">
      <c r="A283" t="inlineStr">
        <is>
          <t>PRB0084687</t>
        </is>
      </c>
      <c r="B283" t="inlineStr">
        <is>
          <t>P1</t>
        </is>
      </c>
      <c r="C283" t="inlineStr">
        <is>
          <t>Fix in Progress</t>
        </is>
      </c>
      <c r="D283" t="inlineStr">
        <is>
          <t>software/business</t>
        </is>
      </c>
      <c r="E283" t="inlineStr">
        <is>
          <t>Global Acquisition - New Accounts On-Boarding Process Orchestration - E3-Production</t>
        </is>
      </c>
      <c r="F283" t="inlineStr">
        <is>
          <t>U.S Personal Savings account holders were unable to utilize multiple functionalities online as well as view personal savings accounts via Mobile Appli</t>
        </is>
      </c>
    </row>
    <row r="284">
      <c r="A284" t="inlineStr">
        <is>
          <t>PRB0084685</t>
        </is>
      </c>
      <c r="B284" t="inlineStr">
        <is>
          <t>P2</t>
        </is>
      </c>
      <c r="C284" t="inlineStr">
        <is>
          <t>106</t>
        </is>
      </c>
      <c r="D284" t="inlineStr">
        <is>
          <t>software/business</t>
        </is>
      </c>
      <c r="E284" t="inlineStr">
        <is>
          <t>Mobile Service Layer - E3-Production</t>
        </is>
      </c>
      <c r="F284" t="inlineStr">
        <is>
          <t>Major Impact Service Disruption - ReadBankingTransferValidate.v2 failures</t>
        </is>
      </c>
    </row>
    <row r="285">
      <c r="A285" t="inlineStr">
        <is>
          <t>PRB0084684</t>
        </is>
      </c>
      <c r="B285" t="inlineStr">
        <is>
          <t>P2</t>
        </is>
      </c>
      <c r="C285" t="inlineStr">
        <is>
          <t>RCA</t>
        </is>
      </c>
      <c r="D285" t="inlineStr">
        <is>
          <t>software/system</t>
        </is>
      </c>
      <c r="E285" t="inlineStr">
        <is>
          <t>sroc-cd1sv5.gso.aexp.com</t>
        </is>
      </c>
      <c r="F285" t="inlineStr">
        <is>
          <t>MVS_DIPF: Service TRIUMPH 301 Domestic Cache Refresh delivery - ECC RECAP is running late. Will finish at 12:00:20 08/06/2025 GMT-05:00 instead of 12:</t>
        </is>
      </c>
    </row>
    <row r="286">
      <c r="A286" t="inlineStr">
        <is>
          <t>PRB0084676</t>
        </is>
      </c>
      <c r="B286" t="inlineStr">
        <is>
          <t>P2</t>
        </is>
      </c>
      <c r="C286" t="inlineStr">
        <is>
          <t>Assessed</t>
        </is>
      </c>
      <c r="E286" t="inlineStr">
        <is>
          <t>Merchant Service Portal - E3-Production</t>
        </is>
      </c>
      <c r="F286" t="inlineStr">
        <is>
          <t>Major Impact Service Disruption - TCCB-TCP: CCP: remote: Pls route this ticket to : submissionsproductionsupport@aexp.com</t>
        </is>
      </c>
    </row>
    <row r="287">
      <c r="A287" t="inlineStr">
        <is>
          <t>PRB0084665</t>
        </is>
      </c>
      <c r="B287" t="inlineStr">
        <is>
          <t>P2</t>
        </is>
      </c>
      <c r="C287" t="inlineStr">
        <is>
          <t>RCA</t>
        </is>
      </c>
      <c r="E287" t="inlineStr">
        <is>
          <t>TechCare Portal - E3-Production</t>
        </is>
      </c>
      <c r="F287" t="inlineStr">
        <is>
          <t>Major Impact Service Disruption - TCCB-TCP: CCP: remote: hello, actimize files have no loaded in the system today</t>
        </is>
      </c>
    </row>
    <row r="288">
      <c r="A288" t="inlineStr">
        <is>
          <t>PRB0084663</t>
        </is>
      </c>
      <c r="B288" t="inlineStr">
        <is>
          <t>P2</t>
        </is>
      </c>
      <c r="C288" t="inlineStr">
        <is>
          <t>RCA</t>
        </is>
      </c>
      <c r="E288" t="inlineStr">
        <is>
          <t>CONNEX - WDE - E3-Production</t>
        </is>
      </c>
      <c r="F288" t="inlineStr">
        <is>
          <t>Major Impact Service Disruption - CCPs Are experiencing latency when attempting to place card members on hold, transfer or disconnect.</t>
        </is>
      </c>
    </row>
    <row r="289">
      <c r="A289" t="inlineStr">
        <is>
          <t>PRB0084651</t>
        </is>
      </c>
      <c r="B289" t="inlineStr">
        <is>
          <t>P2</t>
        </is>
      </c>
      <c r="C289" t="inlineStr">
        <is>
          <t>RCA</t>
        </is>
      </c>
      <c r="E289" t="inlineStr">
        <is>
          <t>Mobile Service Layer - E3-Production</t>
        </is>
      </c>
      <c r="F289" t="inlineStr">
        <is>
          <t>Major Impact Service Disruption - Spike in timeout  failures for /supplementarycardmanagement/v1/updatelimit</t>
        </is>
      </c>
    </row>
    <row r="290">
      <c r="A290" t="inlineStr">
        <is>
          <t>PRB0084649</t>
        </is>
      </c>
      <c r="B290" t="inlineStr">
        <is>
          <t>P2</t>
        </is>
      </c>
      <c r="C290" t="inlineStr">
        <is>
          <t>New</t>
        </is>
      </c>
      <c r="E290" t="inlineStr">
        <is>
          <t>Digital Banking Platform - E3-Production</t>
        </is>
      </c>
      <c r="F290" t="inlineStr">
        <is>
          <t>Major Impact Service Disruption - Digital Banking 5XX Alerts - actioned by Mission ControlEvent Information: Digital_Banking_CJ_Pub_Channel_</t>
        </is>
      </c>
    </row>
    <row r="291">
      <c r="A291" t="inlineStr">
        <is>
          <t>PRB0084648</t>
        </is>
      </c>
      <c r="B291" t="inlineStr">
        <is>
          <t>P2</t>
        </is>
      </c>
      <c r="C291" t="inlineStr">
        <is>
          <t>New</t>
        </is>
      </c>
      <c r="D291" t="inlineStr">
        <is>
          <t>network/wireless</t>
        </is>
      </c>
      <c r="E291" t="inlineStr">
        <is>
          <t>phx-aedrwlanmd01</t>
        </is>
      </c>
      <c r="F291" t="inlineStr">
        <is>
          <t>wireless auth failures in aedr</t>
        </is>
      </c>
    </row>
    <row r="292">
      <c r="A292" t="inlineStr">
        <is>
          <t>PRB0084622</t>
        </is>
      </c>
      <c r="B292" t="inlineStr">
        <is>
          <t>P1</t>
        </is>
      </c>
      <c r="C292" t="inlineStr">
        <is>
          <t>New</t>
        </is>
      </c>
      <c r="D292" t="inlineStr">
        <is>
          <t>access/application</t>
        </is>
      </c>
      <c r="E292" t="inlineStr">
        <is>
          <t>Global Disputes Management System - E3-Production</t>
        </is>
      </c>
      <c r="F292" t="inlineStr">
        <is>
          <t>GDM issue - Dispute cases are going to system hold while processing</t>
        </is>
      </c>
    </row>
    <row r="293">
      <c r="A293" t="inlineStr">
        <is>
          <t>PRB0084617</t>
        </is>
      </c>
      <c r="B293" t="inlineStr">
        <is>
          <t>P2</t>
        </is>
      </c>
      <c r="C293" t="inlineStr">
        <is>
          <t>New</t>
        </is>
      </c>
      <c r="D293" t="inlineStr">
        <is>
          <t>software</t>
        </is>
      </c>
      <c r="E293" t="inlineStr">
        <is>
          <t>AIDA DEVELOP - E3-Production</t>
        </is>
      </c>
      <c r="F293" t="inlineStr">
        <is>
          <t>AiDa Develop is not working in aida platform, impacting several users using AIDA portal</t>
        </is>
      </c>
    </row>
    <row r="294">
      <c r="A294" t="inlineStr">
        <is>
          <t>PRB0084616</t>
        </is>
      </c>
      <c r="B294" t="inlineStr">
        <is>
          <t>P2</t>
        </is>
      </c>
      <c r="C294" t="inlineStr">
        <is>
          <t>New</t>
        </is>
      </c>
      <c r="E294" t="inlineStr">
        <is>
          <t>Authorization</t>
        </is>
      </c>
      <c r="F294" t="inlineStr">
        <is>
          <t>Major Impact Service Disruption - Blumon (TPP)/Auth/LAC/Reporting Timeouts</t>
        </is>
      </c>
    </row>
    <row r="295">
      <c r="A295" t="inlineStr">
        <is>
          <t>PRB0084613</t>
        </is>
      </c>
      <c r="B295" t="inlineStr">
        <is>
          <t>P2</t>
        </is>
      </c>
      <c r="C295" t="inlineStr">
        <is>
          <t>Assessed</t>
        </is>
      </c>
      <c r="E295" t="inlineStr">
        <is>
          <t>Mobile Service Layer - E3-Production</t>
        </is>
      </c>
      <c r="F295" t="inlineStr">
        <is>
          <t>Major Impact Service Disruption - pointstransfer/v1/catalog Failures</t>
        </is>
      </c>
    </row>
    <row r="296">
      <c r="A296" t="inlineStr">
        <is>
          <t>PRB0084608</t>
        </is>
      </c>
      <c r="B296" t="inlineStr">
        <is>
          <t>P2</t>
        </is>
      </c>
      <c r="C296" t="inlineStr">
        <is>
          <t>New</t>
        </is>
      </c>
      <c r="D296" t="inlineStr">
        <is>
          <t>process/deployment</t>
        </is>
      </c>
      <c r="E296" t="inlineStr">
        <is>
          <t>Lucy Search - E3-Production</t>
        </is>
      </c>
      <c r="F296" t="inlineStr">
        <is>
          <t>Problem User is not able to create release version . Deployment for rulesauth service</t>
        </is>
      </c>
    </row>
    <row r="297">
      <c r="A297" t="inlineStr">
        <is>
          <t>PRB0084592</t>
        </is>
      </c>
      <c r="B297" t="inlineStr">
        <is>
          <t>P2</t>
        </is>
      </c>
      <c r="C297" t="inlineStr">
        <is>
          <t>New</t>
        </is>
      </c>
      <c r="E297" t="inlineStr">
        <is>
          <t>ATM BILLING - E3-Production</t>
        </is>
      </c>
      <c r="F297" t="inlineStr">
        <is>
          <t>Major Impact Service Disruption - URGENT ATM EOD SUITE BATCH NOT COMPLETED May 30th</t>
        </is>
      </c>
    </row>
    <row r="298">
      <c r="A298" t="inlineStr">
        <is>
          <t>PRB0084587</t>
        </is>
      </c>
      <c r="B298" t="inlineStr">
        <is>
          <t>P2</t>
        </is>
      </c>
      <c r="C298" t="inlineStr">
        <is>
          <t>Assessed</t>
        </is>
      </c>
      <c r="D298" t="inlineStr">
        <is>
          <t>software/system</t>
        </is>
      </c>
      <c r="E298" t="inlineStr">
        <is>
          <t>lprd-sd.ipc.us.aexp.com</t>
        </is>
      </c>
      <c r="F298" t="inlineStr">
        <is>
          <t>MVS_DIPR: Service MNS - Argentina EOD Cutoff - RECAP is running late. Will finish at Will Not Complete instead of 02:00 02/06/2025 GMT-03:00 : OrderID</t>
        </is>
      </c>
    </row>
    <row r="299">
      <c r="A299" t="inlineStr">
        <is>
          <t>PRB0084586</t>
        </is>
      </c>
      <c r="B299" t="inlineStr">
        <is>
          <t>P2</t>
        </is>
      </c>
      <c r="C299" t="inlineStr">
        <is>
          <t>Assessed</t>
        </is>
      </c>
      <c r="D299" t="inlineStr">
        <is>
          <t>software/system</t>
        </is>
      </c>
      <c r="E299" t="inlineStr">
        <is>
          <t>DIPR</t>
        </is>
      </c>
      <c r="F299" t="inlineStr">
        <is>
          <t>MVS_DIPR: Service MNS - Argentina Online Adjustments - RECAP is running late. Will finish at Will Not Complete instead of 02:00 02/06/2025 GMT-03:00 :</t>
        </is>
      </c>
    </row>
    <row r="300">
      <c r="A300" t="inlineStr">
        <is>
          <t>PRB0084581</t>
        </is>
      </c>
      <c r="B300" t="inlineStr">
        <is>
          <t>P2</t>
        </is>
      </c>
      <c r="C300" t="inlineStr">
        <is>
          <t>Assessed</t>
        </is>
      </c>
      <c r="E300" t="inlineStr">
        <is>
          <t>Mobile Service Layer - E3-Production</t>
        </is>
      </c>
      <c r="F300" t="inlineStr">
        <is>
          <t>PRB0084581 - Major Impact Service Disruption - Spike in failures for /paywithpoints/*/redeemPoints</t>
        </is>
      </c>
    </row>
    <row r="301">
      <c r="A301" t="inlineStr">
        <is>
          <t>PRB0084580</t>
        </is>
      </c>
      <c r="B301" t="inlineStr">
        <is>
          <t>P2</t>
        </is>
      </c>
      <c r="C301" t="inlineStr">
        <is>
          <t>RCA</t>
        </is>
      </c>
      <c r="E301" t="inlineStr">
        <is>
          <t>Issuance Replacements Service - E3-Production</t>
        </is>
      </c>
      <c r="F301" t="inlineStr">
        <is>
          <t>Major Impact Service Disruption - :siren5:IRS-CJ: Front-end function Failures in ReadDeliveryOptionsForCardIssuance.v1 with Error: Error is</t>
        </is>
      </c>
    </row>
    <row r="302">
      <c r="A302" t="inlineStr">
        <is>
          <t>PRB0084578</t>
        </is>
      </c>
      <c r="B302" t="inlineStr">
        <is>
          <t>P1</t>
        </is>
      </c>
      <c r="C302" t="inlineStr">
        <is>
          <t>Assessed</t>
        </is>
      </c>
      <c r="D302" t="inlineStr">
        <is>
          <t>software/business</t>
        </is>
      </c>
      <c r="E302" t="inlineStr">
        <is>
          <t>vPayment Next Generation - E3-Production</t>
        </is>
      </c>
      <c r="F302" t="inlineStr">
        <is>
          <t>CUSTOMER JOURNEY FAILURES &gt;5 IN LAST 10 MINS</t>
        </is>
      </c>
    </row>
    <row r="303">
      <c r="A303" t="inlineStr">
        <is>
          <t>PRB0084577</t>
        </is>
      </c>
      <c r="B303" t="inlineStr">
        <is>
          <t>P1</t>
        </is>
      </c>
      <c r="C303" t="inlineStr">
        <is>
          <t>New</t>
        </is>
      </c>
      <c r="D303" t="inlineStr">
        <is>
          <t>software/business</t>
        </is>
      </c>
      <c r="E303" t="inlineStr">
        <is>
          <t>vPayment Next Generation - E3-Production</t>
        </is>
      </c>
      <c r="F303" t="inlineStr">
        <is>
          <t>CUSTOMER JOURNEY FAILURES &gt;5 IN LAST 10 MINS</t>
        </is>
      </c>
    </row>
    <row r="304">
      <c r="A304" t="inlineStr">
        <is>
          <t>PRB0084576</t>
        </is>
      </c>
      <c r="B304" t="inlineStr">
        <is>
          <t>P2</t>
        </is>
      </c>
      <c r="C304" t="inlineStr">
        <is>
          <t>RCA</t>
        </is>
      </c>
      <c r="E304" t="inlineStr">
        <is>
          <t>Manage Your Customer Account (MYCA) - E3-Production</t>
        </is>
      </c>
      <c r="F304" t="inlineStr">
        <is>
          <t>Major Impact Service Disruption - CCP Caller: TCCB-TCP: CCP: inoffice: Transaction issue</t>
        </is>
      </c>
    </row>
    <row r="305">
      <c r="A305" t="inlineStr">
        <is>
          <t>PRB0084574</t>
        </is>
      </c>
      <c r="B305" t="inlineStr">
        <is>
          <t>P2</t>
        </is>
      </c>
      <c r="C305" t="inlineStr">
        <is>
          <t>Assessed</t>
        </is>
      </c>
      <c r="E305" t="inlineStr">
        <is>
          <t>Domestic Membership Rewards - E3-Production</t>
        </is>
      </c>
      <c r="F305" t="inlineStr">
        <is>
          <t>Major Impact Service Disruption - Observing intermittent  CMRO SYSTEM FAILURE for createLoyaltyGiftCardOrder</t>
        </is>
      </c>
    </row>
    <row r="306">
      <c r="A306" t="inlineStr">
        <is>
          <t>PRB0084559</t>
        </is>
      </c>
      <c r="B306" t="inlineStr">
        <is>
          <t>P2</t>
        </is>
      </c>
      <c r="C306" t="inlineStr">
        <is>
          <t>Assessed</t>
        </is>
      </c>
      <c r="E306" t="inlineStr">
        <is>
          <t>Manage Your Customer Account (MYCA) - E3-Production</t>
        </is>
      </c>
      <c r="F306" t="inlineStr">
        <is>
          <t>Major Impact Service Disruption - ReadPlanItPlans.v1  failures</t>
        </is>
      </c>
    </row>
    <row r="307">
      <c r="A307" t="inlineStr">
        <is>
          <t>PRB0084545</t>
        </is>
      </c>
      <c r="B307" t="inlineStr">
        <is>
          <t>P2</t>
        </is>
      </c>
      <c r="C307" t="inlineStr">
        <is>
          <t>106</t>
        </is>
      </c>
      <c r="D307" t="inlineStr">
        <is>
          <t>software/business</t>
        </is>
      </c>
      <c r="E307" t="inlineStr">
        <is>
          <t>Intuitive Servicing Portal Ecosystem - E3-Production</t>
        </is>
      </c>
      <c r="F307" t="inlineStr">
        <is>
          <t>Major Impact Service Disruption - payments made last week of May not being recognized by the system. Balance summary doesn't reflect in ISP</t>
        </is>
      </c>
    </row>
    <row r="308">
      <c r="A308" t="inlineStr">
        <is>
          <t>PRB0084544</t>
        </is>
      </c>
      <c r="B308" t="inlineStr">
        <is>
          <t>P2</t>
        </is>
      </c>
      <c r="C308" t="inlineStr">
        <is>
          <t>Assessed</t>
        </is>
      </c>
      <c r="E308" t="inlineStr">
        <is>
          <t>srocentprs.intra.aexp.com</t>
        </is>
      </c>
      <c r="F308" t="inlineStr">
        <is>
          <t>MVS_DIPF: Service Globestar 242 Canada Acct board, txn post,Card GIss - ECC RECAP is running late. Will finish at 10:01 29/05/2025 GMT-05:00 instead o</t>
        </is>
      </c>
    </row>
    <row r="309">
      <c r="A309" t="inlineStr">
        <is>
          <t>PRB0084527</t>
        </is>
      </c>
      <c r="B309" t="inlineStr">
        <is>
          <t>P2</t>
        </is>
      </c>
      <c r="C309" t="inlineStr">
        <is>
          <t>Assessed</t>
        </is>
      </c>
      <c r="E309" t="inlineStr">
        <is>
          <t>L&amp;B Web - Loyalty Redemptions - E3-Production</t>
        </is>
      </c>
      <c r="F309" t="inlineStr">
        <is>
          <t>Major Impact Service Disruption - LAI failures</t>
        </is>
      </c>
    </row>
    <row r="310">
      <c r="A310" t="inlineStr">
        <is>
          <t>PRB0084525</t>
        </is>
      </c>
      <c r="B310" t="inlineStr">
        <is>
          <t>P2</t>
        </is>
      </c>
      <c r="C310" t="inlineStr">
        <is>
          <t>New</t>
        </is>
      </c>
      <c r="E310" t="inlineStr">
        <is>
          <t>DIPA</t>
        </is>
      </c>
      <c r="F310" t="inlineStr">
        <is>
          <t>MVS_WEST: Service GP-TC-PAIDS Voucher check printing - RECAP is running late. Will finish at 10:01 28/05/2025 GMT-07:00 instead of 10:00 28/05/2025 GM</t>
        </is>
      </c>
    </row>
    <row r="311">
      <c r="A311" t="inlineStr">
        <is>
          <t>PRB0084524</t>
        </is>
      </c>
      <c r="B311" t="inlineStr">
        <is>
          <t>P2</t>
        </is>
      </c>
      <c r="C311" t="inlineStr">
        <is>
          <t>Assessed</t>
        </is>
      </c>
      <c r="E311" t="inlineStr">
        <is>
          <t>SOFTWARE</t>
        </is>
      </c>
      <c r="F311" t="inlineStr">
        <is>
          <t>Major Impact Service Disruption - Safekey Authentication process - We received 4 card members who reported that they have completed</t>
        </is>
      </c>
    </row>
    <row r="312">
      <c r="A312" t="inlineStr">
        <is>
          <t>PRB0084522</t>
        </is>
      </c>
      <c r="B312" t="inlineStr">
        <is>
          <t>P2</t>
        </is>
      </c>
      <c r="C312" t="inlineStr">
        <is>
          <t>RCA</t>
        </is>
      </c>
      <c r="E312" t="inlineStr">
        <is>
          <t>Global Issuance Platform - E3-Production</t>
        </is>
      </c>
      <c r="F312" t="inlineStr">
        <is>
          <t>Major Impact Service Disruption - GIP: 22:00 Hour -&gt; Missing Files - `GSLAC_CAN_ALL`</t>
        </is>
      </c>
    </row>
    <row r="313">
      <c r="A313" t="inlineStr">
        <is>
          <t>PRB0084517</t>
        </is>
      </c>
      <c r="B313" t="inlineStr">
        <is>
          <t>P2</t>
        </is>
      </c>
      <c r="C313" t="inlineStr">
        <is>
          <t>Fix in Progress</t>
        </is>
      </c>
      <c r="D313" t="inlineStr">
        <is>
          <t>database/IMS</t>
        </is>
      </c>
      <c r="E313" t="inlineStr">
        <is>
          <t>Mobile Service Layer - E3-Production</t>
        </is>
      </c>
      <c r="F313" t="inlineStr">
        <is>
          <t>Major Impact Service Disruption - GBM_ENROLLMENTS_GET_SERVICE timeouts</t>
        </is>
      </c>
    </row>
    <row r="314">
      <c r="A314" t="inlineStr">
        <is>
          <t>PRB0084498</t>
        </is>
      </c>
      <c r="B314" t="inlineStr">
        <is>
          <t>P2</t>
        </is>
      </c>
      <c r="C314" t="inlineStr">
        <is>
          <t>Assessed</t>
        </is>
      </c>
      <c r="E314" t="inlineStr">
        <is>
          <t>Global Servicing Portal - E3-Production</t>
        </is>
      </c>
      <c r="F314" t="inlineStr">
        <is>
          <t>Major Impact Service Disruption - Payment issues when the customer wish to change cycle in France market</t>
        </is>
      </c>
    </row>
    <row r="315">
      <c r="A315" t="inlineStr">
        <is>
          <t>PRB0084497</t>
        </is>
      </c>
      <c r="B315" t="inlineStr">
        <is>
          <t>P2</t>
        </is>
      </c>
      <c r="C315" t="inlineStr">
        <is>
          <t>New</t>
        </is>
      </c>
      <c r="D315" t="inlineStr">
        <is>
          <t>software/business</t>
        </is>
      </c>
      <c r="E315" t="inlineStr">
        <is>
          <t>Digital Acquisitions Shared Services API - E3-Production</t>
        </is>
      </c>
      <c r="F315" t="inlineStr">
        <is>
          <t>Incorrect URLs leading to drop in sessions for ICN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9" t="inlineStr">
        <is>
          <t>Stress Test Summary Dashboard</t>
        </is>
      </c>
    </row>
    <row r="3">
      <c r="A3" s="10" t="inlineStr">
        <is>
          <t>Total Tests Run</t>
        </is>
      </c>
      <c r="B3">
        <f>COUNTA('Test Results'!A2:A200)</f>
        <v/>
      </c>
    </row>
    <row r="4">
      <c r="A4" s="10" t="inlineStr">
        <is>
          <t>Tests Passed (All 3 Correct)</t>
        </is>
      </c>
      <c r="B4">
        <f>COUNTIFS('Test Results'!H2:H200,"Y",'Test Results'!M2:M200,"Y",'Test Results'!Q2:Q200,"Y")</f>
        <v/>
      </c>
    </row>
    <row r="5">
      <c r="A5" s="10" t="inlineStr">
        <is>
          <t>Agent 1 Accuracy (Y count)</t>
        </is>
      </c>
      <c r="B5">
        <f>COUNTIF('Test Results'!H2:H200,"Y")</f>
        <v/>
      </c>
    </row>
    <row r="6">
      <c r="A6" s="10" t="inlineStr">
        <is>
          <t>Agent 2 Accuracy (Y count)</t>
        </is>
      </c>
      <c r="B6">
        <f>COUNTIF('Test Results'!M2:M200,"Y")</f>
        <v/>
      </c>
    </row>
    <row r="7">
      <c r="A7" s="10" t="inlineStr">
        <is>
          <t>Agent 3 Accuracy (Y count)</t>
        </is>
      </c>
      <c r="B7">
        <f>COUNTIF('Test Results'!Q2:Q200,"Y")</f>
        <v/>
      </c>
    </row>
    <row r="8">
      <c r="A8" s="10" t="inlineStr">
        <is>
          <t>All 3 Completed Rate</t>
        </is>
      </c>
      <c r="B8">
        <f>COUNTIF('Test Results'!T2:T200,"Yes")</f>
        <v/>
      </c>
    </row>
    <row r="9">
      <c r="A9" s="10" t="inlineStr">
        <is>
          <t>Avg Execution Time (s)</t>
        </is>
      </c>
      <c r="B9">
        <f>AVERAGE('Test Results'!S2:S200)</f>
        <v/>
      </c>
    </row>
    <row r="10">
      <c r="A10" s="10" t="inlineStr">
        <is>
          <t>Max Execution Time (s)</t>
        </is>
      </c>
      <c r="B10">
        <f>MAX('Test Results'!S2:S200)</f>
        <v/>
      </c>
    </row>
    <row r="11">
      <c r="A11" s="10" t="inlineStr">
        <is>
          <t>Error Count</t>
        </is>
      </c>
      <c r="B11">
        <f>COUNTA('Test Results'!U2:U200)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2026-04-28T16:08:39Z</dcterms:created>
  <dcterms:modified xmlns:dcterms="http://purl.org/dc/terms/" xmlns:xsi="http://www.w3.org/2001/XMLSchema-instance" xsi:type="dcterms:W3CDTF">2026-04-28T16:24:23Z</dcterms:modified>
</cp:coreProperties>
</file>